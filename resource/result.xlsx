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D:\_Files\_Lessons\ALGORITHM\Project\resource\"/>
    </mc:Choice>
  </mc:AlternateContent>
  <xr:revisionPtr revIDLastSave="0" documentId="13_ncr:1_{14622D44-2112-4698-B9D1-C7263E7E6A14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EXACT" sheetId="9" r:id="rId1"/>
    <sheet name="APPRO" sheetId="10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10" l="1"/>
  <c r="C34" i="10"/>
  <c r="F35" i="10"/>
  <c r="C35" i="10"/>
  <c r="E8" i="10"/>
  <c r="H8" i="10"/>
  <c r="H4" i="10"/>
  <c r="E4" i="10"/>
  <c r="H11" i="10"/>
  <c r="H9" i="10"/>
  <c r="H10" i="10"/>
  <c r="H13" i="10"/>
  <c r="H25" i="10"/>
  <c r="H26" i="10"/>
  <c r="H22" i="10"/>
  <c r="H12" i="10"/>
  <c r="H15" i="10"/>
  <c r="H3" i="10"/>
  <c r="H24" i="10"/>
  <c r="H6" i="10"/>
  <c r="H27" i="10"/>
  <c r="H32" i="10"/>
  <c r="H17" i="10"/>
  <c r="H18" i="10"/>
  <c r="H19" i="10"/>
  <c r="H20" i="10"/>
  <c r="H23" i="10"/>
  <c r="H31" i="10"/>
  <c r="H30" i="10"/>
  <c r="H33" i="10"/>
  <c r="H16" i="10"/>
  <c r="H21" i="10"/>
  <c r="H14" i="10"/>
  <c r="H28" i="10"/>
  <c r="H5" i="10"/>
  <c r="H7" i="10"/>
  <c r="H29" i="10"/>
  <c r="E29" i="10"/>
  <c r="E11" i="10"/>
  <c r="E9" i="10"/>
  <c r="E10" i="10"/>
  <c r="E13" i="10"/>
  <c r="E25" i="10"/>
  <c r="E26" i="10"/>
  <c r="E22" i="10"/>
  <c r="E12" i="10"/>
  <c r="E15" i="10"/>
  <c r="E3" i="10"/>
  <c r="E24" i="10"/>
  <c r="E6" i="10"/>
  <c r="E27" i="10"/>
  <c r="E32" i="10"/>
  <c r="E17" i="10"/>
  <c r="E18" i="10"/>
  <c r="E19" i="10"/>
  <c r="E20" i="10"/>
  <c r="E23" i="10"/>
  <c r="E31" i="10"/>
  <c r="E30" i="10"/>
  <c r="E33" i="10"/>
  <c r="E16" i="10"/>
  <c r="E21" i="10"/>
  <c r="E14" i="10"/>
  <c r="E28" i="10"/>
  <c r="E5" i="10"/>
  <c r="E7" i="10"/>
</calcChain>
</file>

<file path=xl/sharedStrings.xml><?xml version="1.0" encoding="utf-8"?>
<sst xmlns="http://schemas.openxmlformats.org/spreadsheetml/2006/main" count="63" uniqueCount="50">
  <si>
    <t>att48</t>
    <phoneticPr fontId="1" type="noConversion"/>
  </si>
  <si>
    <t>p15</t>
    <phoneticPr fontId="1" type="noConversion"/>
  </si>
  <si>
    <t>gr17</t>
    <phoneticPr fontId="1" type="noConversion"/>
  </si>
  <si>
    <t>five5</t>
    <phoneticPr fontId="1" type="noConversion"/>
  </si>
  <si>
    <t>MIN_COST</t>
    <phoneticPr fontId="1" type="noConversion"/>
  </si>
  <si>
    <t>Time</t>
    <phoneticPr fontId="1" type="noConversion"/>
  </si>
  <si>
    <t>rec_cnt</t>
    <phoneticPr fontId="1" type="noConversion"/>
  </si>
  <si>
    <t>greedy</t>
    <phoneticPr fontId="1" type="noConversion"/>
  </si>
  <si>
    <t>min_cost</t>
    <phoneticPr fontId="1" type="noConversion"/>
  </si>
  <si>
    <t>ratio</t>
    <phoneticPr fontId="1" type="noConversion"/>
  </si>
  <si>
    <t>MST</t>
    <phoneticPr fontId="1" type="noConversion"/>
  </si>
  <si>
    <t>a280</t>
    <phoneticPr fontId="1" type="noConversion"/>
  </si>
  <si>
    <t>bayg29</t>
    <phoneticPr fontId="1" type="noConversion"/>
  </si>
  <si>
    <t>bays29</t>
    <phoneticPr fontId="1" type="noConversion"/>
  </si>
  <si>
    <t>berlin52</t>
    <phoneticPr fontId="1" type="noConversion"/>
  </si>
  <si>
    <t>ch130</t>
    <phoneticPr fontId="1" type="noConversion"/>
  </si>
  <si>
    <t>ch150</t>
    <phoneticPr fontId="1" type="noConversion"/>
  </si>
  <si>
    <t>eil101</t>
    <phoneticPr fontId="1" type="noConversion"/>
  </si>
  <si>
    <t>eil51</t>
    <phoneticPr fontId="1" type="noConversion"/>
  </si>
  <si>
    <t>eil76</t>
    <phoneticPr fontId="1" type="noConversion"/>
  </si>
  <si>
    <t>five5</t>
    <phoneticPr fontId="1" type="noConversion"/>
  </si>
  <si>
    <t>fri26</t>
    <phoneticPr fontId="1" type="noConversion"/>
  </si>
  <si>
    <t>gr120</t>
    <phoneticPr fontId="1" type="noConversion"/>
  </si>
  <si>
    <t>gr17</t>
    <phoneticPr fontId="1" type="noConversion"/>
  </si>
  <si>
    <t>gr202</t>
    <phoneticPr fontId="1" type="noConversion"/>
  </si>
  <si>
    <t>gr666</t>
    <phoneticPr fontId="1" type="noConversion"/>
  </si>
  <si>
    <t>gr96</t>
    <phoneticPr fontId="1" type="noConversion"/>
  </si>
  <si>
    <t>kroA100</t>
    <phoneticPr fontId="1" type="noConversion"/>
  </si>
  <si>
    <t>kroC100</t>
    <phoneticPr fontId="1" type="noConversion"/>
  </si>
  <si>
    <t>kroD100</t>
    <phoneticPr fontId="1" type="noConversion"/>
  </si>
  <si>
    <t>lin105</t>
    <phoneticPr fontId="1" type="noConversion"/>
  </si>
  <si>
    <t>pa561</t>
    <phoneticPr fontId="1" type="noConversion"/>
  </si>
  <si>
    <t>pcb442</t>
    <phoneticPr fontId="1" type="noConversion"/>
  </si>
  <si>
    <t>pr1002</t>
    <phoneticPr fontId="1" type="noConversion"/>
  </si>
  <si>
    <t>pr76</t>
    <phoneticPr fontId="1" type="noConversion"/>
  </si>
  <si>
    <t>rd100</t>
    <phoneticPr fontId="1" type="noConversion"/>
  </si>
  <si>
    <t>st70</t>
    <phoneticPr fontId="1" type="noConversion"/>
  </si>
  <si>
    <t>tsp225</t>
    <phoneticPr fontId="1" type="noConversion"/>
  </si>
  <si>
    <t>ulysses16</t>
    <phoneticPr fontId="1" type="noConversion"/>
  </si>
  <si>
    <t>ulysses22</t>
    <phoneticPr fontId="1" type="noConversion"/>
  </si>
  <si>
    <t>dfs-0</t>
    <phoneticPr fontId="1" type="noConversion"/>
  </si>
  <si>
    <t>dfs-1</t>
    <phoneticPr fontId="1" type="noConversion"/>
  </si>
  <si>
    <t>dfs-2</t>
  </si>
  <si>
    <t>bfs-0</t>
  </si>
  <si>
    <t>dp-0</t>
  </si>
  <si>
    <t>Time</t>
    <phoneticPr fontId="1" type="noConversion"/>
  </si>
  <si>
    <t>ulyssses16</t>
    <phoneticPr fontId="1" type="noConversion"/>
  </si>
  <si>
    <t>DATASET</t>
    <phoneticPr fontId="1" type="noConversion"/>
  </si>
  <si>
    <t>Average</t>
    <phoneticPr fontId="1" type="noConversion"/>
  </si>
  <si>
    <t>Ratio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</si>
</sst>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5032F-7D46-42A8-94FF-8D70120A2E4C}">
  <dimension ref="A1:J6"/>
  <sheetViews>
    <sheetView workbookViewId="0">
      <selection activeCell="G11" sqref="G11"/>
    </sheetView>
  </sheetViews>
  <sheetFormatPr defaultRowHeight="14" x14ac:dyDescent="0.3"/>
  <cols>
    <col min="1" max="1" width="8.6640625" style="1"/>
    <col min="2" max="2" width="12" style="1" customWidth="1"/>
    <col min="3" max="3" width="8.6640625" style="1" customWidth="1"/>
    <col min="4" max="4" width="8.6640625" style="1"/>
    <col min="5" max="5" width="12.33203125" style="1" bestFit="1" customWidth="1"/>
    <col min="6" max="6" width="8.6640625" style="1"/>
    <col min="7" max="7" width="12.75" style="1" customWidth="1"/>
    <col min="8" max="8" width="8.6640625" style="1"/>
    <col min="9" max="9" width="13.58203125" style="1" customWidth="1"/>
    <col min="10" max="10" width="11.4140625" style="1" customWidth="1"/>
    <col min="11" max="11" width="8.6640625" style="1"/>
    <col min="12" max="12" width="10.9140625" style="1" customWidth="1"/>
    <col min="13" max="16384" width="8.6640625" style="1"/>
  </cols>
  <sheetData>
    <row r="1" spans="1:10" x14ac:dyDescent="0.3">
      <c r="A1" s="5" t="s">
        <v>47</v>
      </c>
      <c r="B1" s="5" t="s">
        <v>4</v>
      </c>
      <c r="C1" s="2" t="s">
        <v>44</v>
      </c>
      <c r="D1" s="5" t="s">
        <v>40</v>
      </c>
      <c r="E1" s="5"/>
      <c r="F1" s="5" t="s">
        <v>41</v>
      </c>
      <c r="G1" s="5"/>
      <c r="H1" s="5" t="s">
        <v>42</v>
      </c>
      <c r="I1" s="5"/>
      <c r="J1" s="2" t="s">
        <v>43</v>
      </c>
    </row>
    <row r="2" spans="1:10" x14ac:dyDescent="0.3">
      <c r="A2" s="5"/>
      <c r="B2" s="5"/>
      <c r="C2" s="2" t="s">
        <v>45</v>
      </c>
      <c r="D2" s="2" t="s">
        <v>5</v>
      </c>
      <c r="E2" s="2" t="s">
        <v>6</v>
      </c>
      <c r="F2" s="2" t="s">
        <v>5</v>
      </c>
      <c r="G2" s="2" t="s">
        <v>6</v>
      </c>
      <c r="H2" s="2" t="s">
        <v>5</v>
      </c>
      <c r="I2" s="2" t="s">
        <v>6</v>
      </c>
      <c r="J2" s="2" t="s">
        <v>45</v>
      </c>
    </row>
    <row r="3" spans="1:10" x14ac:dyDescent="0.3">
      <c r="A3" s="2" t="s">
        <v>3</v>
      </c>
      <c r="B3" s="4">
        <v>19</v>
      </c>
      <c r="C3" s="2">
        <v>0</v>
      </c>
      <c r="D3" s="1">
        <v>0</v>
      </c>
      <c r="E3" s="1">
        <v>62</v>
      </c>
      <c r="F3" s="4">
        <v>0</v>
      </c>
      <c r="G3" s="4">
        <v>31</v>
      </c>
      <c r="H3" s="4">
        <v>0</v>
      </c>
      <c r="I3" s="4">
        <v>62</v>
      </c>
      <c r="J3" s="4">
        <v>0.33</v>
      </c>
    </row>
    <row r="4" spans="1:10" x14ac:dyDescent="0.3">
      <c r="A4" s="2" t="s">
        <v>1</v>
      </c>
      <c r="B4" s="2">
        <v>291</v>
      </c>
      <c r="C4" s="2">
        <v>16</v>
      </c>
      <c r="D4" s="4">
        <v>8467.33</v>
      </c>
      <c r="E4" s="4">
        <v>364724160</v>
      </c>
      <c r="F4" s="4">
        <v>34</v>
      </c>
      <c r="G4" s="4">
        <v>1613542</v>
      </c>
      <c r="H4" s="4">
        <v>31786.33</v>
      </c>
      <c r="I4" s="4">
        <v>207713158</v>
      </c>
      <c r="J4" s="2"/>
    </row>
    <row r="5" spans="1:10" x14ac:dyDescent="0.3">
      <c r="A5" s="4" t="s">
        <v>46</v>
      </c>
      <c r="B5" s="2">
        <v>71</v>
      </c>
      <c r="C5" s="2">
        <v>33</v>
      </c>
      <c r="D5" s="2"/>
      <c r="E5" s="2"/>
      <c r="F5" s="2">
        <v>302456</v>
      </c>
      <c r="G5" s="2">
        <v>15887259562</v>
      </c>
      <c r="H5" s="2"/>
      <c r="I5" s="2"/>
      <c r="J5" s="2"/>
    </row>
    <row r="6" spans="1:10" x14ac:dyDescent="0.3">
      <c r="A6" s="2" t="s">
        <v>2</v>
      </c>
      <c r="B6" s="2">
        <v>2085</v>
      </c>
      <c r="C6" s="2">
        <v>70</v>
      </c>
      <c r="D6" s="2"/>
      <c r="E6" s="2"/>
      <c r="F6" s="4">
        <v>211214.33</v>
      </c>
      <c r="G6" s="4">
        <v>12457317253</v>
      </c>
      <c r="H6" s="2"/>
      <c r="I6" s="2"/>
      <c r="J6" s="2"/>
    </row>
  </sheetData>
  <mergeCells count="5">
    <mergeCell ref="F1:G1"/>
    <mergeCell ref="B1:B2"/>
    <mergeCell ref="D1:E1"/>
    <mergeCell ref="H1:I1"/>
    <mergeCell ref="A1:A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B66E-1FFD-4D32-BA5D-DB6972467A37}">
  <dimension ref="A1:H35"/>
  <sheetViews>
    <sheetView tabSelected="1" workbookViewId="0">
      <selection activeCell="F35" sqref="F35:H35"/>
    </sheetView>
  </sheetViews>
  <sheetFormatPr defaultRowHeight="14" x14ac:dyDescent="0.3"/>
  <cols>
    <col min="1" max="1" width="11.33203125" style="1" customWidth="1"/>
    <col min="2" max="2" width="13.4140625" style="1" customWidth="1"/>
    <col min="3" max="16384" width="8.6640625" style="1"/>
  </cols>
  <sheetData>
    <row r="1" spans="1:8" x14ac:dyDescent="0.3">
      <c r="A1" s="5" t="s">
        <v>47</v>
      </c>
      <c r="B1" s="5" t="s">
        <v>4</v>
      </c>
      <c r="C1" s="5" t="s">
        <v>7</v>
      </c>
      <c r="D1" s="5"/>
      <c r="E1" s="5"/>
      <c r="F1" s="5" t="s">
        <v>10</v>
      </c>
      <c r="G1" s="5"/>
      <c r="H1" s="5"/>
    </row>
    <row r="2" spans="1:8" x14ac:dyDescent="0.3">
      <c r="A2" s="5"/>
      <c r="B2" s="5"/>
      <c r="C2" s="2" t="s">
        <v>5</v>
      </c>
      <c r="D2" s="2" t="s">
        <v>8</v>
      </c>
      <c r="E2" s="2" t="s">
        <v>9</v>
      </c>
      <c r="F2" s="2" t="s">
        <v>5</v>
      </c>
      <c r="G2" s="2" t="s">
        <v>8</v>
      </c>
      <c r="H2" s="2" t="s">
        <v>9</v>
      </c>
    </row>
    <row r="3" spans="1:8" x14ac:dyDescent="0.3">
      <c r="A3" s="2" t="s">
        <v>20</v>
      </c>
      <c r="B3" s="2">
        <v>19</v>
      </c>
      <c r="C3" s="2">
        <v>0</v>
      </c>
      <c r="D3" s="2">
        <v>21</v>
      </c>
      <c r="E3" s="3">
        <f t="shared" ref="E3:E33" si="0">D3/B3</f>
        <v>1.1052631578947369</v>
      </c>
      <c r="F3" s="2">
        <v>0</v>
      </c>
      <c r="G3" s="2">
        <v>21</v>
      </c>
      <c r="H3" s="3">
        <f t="shared" ref="H3:H33" si="1">G3/B3</f>
        <v>1.1052631578947369</v>
      </c>
    </row>
    <row r="4" spans="1:8" x14ac:dyDescent="0.3">
      <c r="A4" s="2" t="s">
        <v>1</v>
      </c>
      <c r="B4" s="2">
        <v>291</v>
      </c>
      <c r="C4" s="2">
        <v>0</v>
      </c>
      <c r="D4" s="2">
        <v>291</v>
      </c>
      <c r="E4" s="3">
        <f t="shared" si="0"/>
        <v>1</v>
      </c>
      <c r="F4" s="2">
        <v>0</v>
      </c>
      <c r="G4" s="2">
        <v>299</v>
      </c>
      <c r="H4" s="3">
        <f t="shared" si="1"/>
        <v>1.0274914089347078</v>
      </c>
    </row>
    <row r="5" spans="1:8" x14ac:dyDescent="0.3">
      <c r="A5" s="2" t="s">
        <v>38</v>
      </c>
      <c r="B5" s="2">
        <v>71</v>
      </c>
      <c r="C5" s="2">
        <v>0</v>
      </c>
      <c r="D5" s="2">
        <v>74</v>
      </c>
      <c r="E5" s="3">
        <f t="shared" si="0"/>
        <v>1.0422535211267605</v>
      </c>
      <c r="F5" s="2">
        <v>0</v>
      </c>
      <c r="G5" s="2">
        <v>72</v>
      </c>
      <c r="H5" s="3">
        <f t="shared" si="1"/>
        <v>1.0140845070422535</v>
      </c>
    </row>
    <row r="6" spans="1:8" x14ac:dyDescent="0.3">
      <c r="A6" s="2" t="s">
        <v>23</v>
      </c>
      <c r="B6" s="2">
        <v>2085</v>
      </c>
      <c r="C6" s="2">
        <v>0</v>
      </c>
      <c r="D6" s="2">
        <v>2178</v>
      </c>
      <c r="E6" s="3">
        <f t="shared" si="0"/>
        <v>1.0446043165467627</v>
      </c>
      <c r="F6" s="2">
        <v>0</v>
      </c>
      <c r="G6" s="2">
        <v>2210</v>
      </c>
      <c r="H6" s="3">
        <f t="shared" si="1"/>
        <v>1.0599520383693046</v>
      </c>
    </row>
    <row r="7" spans="1:8" x14ac:dyDescent="0.3">
      <c r="A7" s="2" t="s">
        <v>39</v>
      </c>
      <c r="B7" s="2">
        <v>73</v>
      </c>
      <c r="C7" s="2">
        <v>0</v>
      </c>
      <c r="D7" s="2">
        <v>86</v>
      </c>
      <c r="E7" s="3">
        <f t="shared" si="0"/>
        <v>1.178082191780822</v>
      </c>
      <c r="F7" s="2">
        <v>2</v>
      </c>
      <c r="G7" s="2">
        <v>75</v>
      </c>
      <c r="H7" s="3">
        <f t="shared" si="1"/>
        <v>1.0273972602739727</v>
      </c>
    </row>
    <row r="8" spans="1:8" x14ac:dyDescent="0.3">
      <c r="A8" s="2" t="s">
        <v>21</v>
      </c>
      <c r="B8" s="2">
        <v>937</v>
      </c>
      <c r="C8" s="2">
        <v>0</v>
      </c>
      <c r="D8" s="2">
        <v>965</v>
      </c>
      <c r="E8" s="3">
        <f t="shared" si="0"/>
        <v>1.0298826040554963</v>
      </c>
      <c r="F8" s="2">
        <v>0</v>
      </c>
      <c r="G8" s="2">
        <v>1102</v>
      </c>
      <c r="H8" s="3">
        <f t="shared" si="1"/>
        <v>1.176093916755603</v>
      </c>
    </row>
    <row r="9" spans="1:8" x14ac:dyDescent="0.3">
      <c r="A9" s="2" t="s">
        <v>12</v>
      </c>
      <c r="B9" s="2">
        <v>9073</v>
      </c>
      <c r="C9" s="2">
        <v>0</v>
      </c>
      <c r="D9" s="2">
        <v>9962</v>
      </c>
      <c r="E9" s="3">
        <f t="shared" si="0"/>
        <v>1.0979830265623278</v>
      </c>
      <c r="F9" s="2">
        <v>2</v>
      </c>
      <c r="G9" s="2">
        <v>10341</v>
      </c>
      <c r="H9" s="3">
        <f t="shared" si="1"/>
        <v>1.1397553179764135</v>
      </c>
    </row>
    <row r="10" spans="1:8" x14ac:dyDescent="0.3">
      <c r="A10" s="2" t="s">
        <v>13</v>
      </c>
      <c r="B10" s="2">
        <v>9290</v>
      </c>
      <c r="C10" s="2">
        <v>0</v>
      </c>
      <c r="D10" s="2">
        <v>9962</v>
      </c>
      <c r="E10" s="3">
        <f t="shared" si="0"/>
        <v>1.0723358449946179</v>
      </c>
      <c r="F10" s="2">
        <v>1</v>
      </c>
      <c r="G10" s="2">
        <v>10341</v>
      </c>
      <c r="H10" s="3">
        <f t="shared" si="1"/>
        <v>1.1131324004305705</v>
      </c>
    </row>
    <row r="11" spans="1:8" x14ac:dyDescent="0.3">
      <c r="A11" s="2" t="s">
        <v>0</v>
      </c>
      <c r="B11" s="2">
        <v>33523</v>
      </c>
      <c r="C11" s="2">
        <v>0</v>
      </c>
      <c r="D11" s="2">
        <v>37928</v>
      </c>
      <c r="E11" s="3">
        <f t="shared" si="0"/>
        <v>1.1314023207946782</v>
      </c>
      <c r="F11" s="2">
        <v>6</v>
      </c>
      <c r="G11" s="2">
        <v>41190</v>
      </c>
      <c r="H11" s="3">
        <f t="shared" si="1"/>
        <v>1.2287086477940519</v>
      </c>
    </row>
    <row r="12" spans="1:8" x14ac:dyDescent="0.3">
      <c r="A12" s="2" t="s">
        <v>18</v>
      </c>
      <c r="B12" s="2">
        <v>426</v>
      </c>
      <c r="C12" s="2">
        <v>0</v>
      </c>
      <c r="D12" s="2">
        <v>482</v>
      </c>
      <c r="E12" s="3">
        <f t="shared" si="0"/>
        <v>1.1314553990610328</v>
      </c>
      <c r="F12" s="2">
        <v>7</v>
      </c>
      <c r="G12" s="2">
        <v>556</v>
      </c>
      <c r="H12" s="3">
        <f t="shared" si="1"/>
        <v>1.3051643192488263</v>
      </c>
    </row>
    <row r="13" spans="1:8" x14ac:dyDescent="0.3">
      <c r="A13" s="2" t="s">
        <v>14</v>
      </c>
      <c r="B13" s="2">
        <v>7542</v>
      </c>
      <c r="C13" s="2">
        <v>1</v>
      </c>
      <c r="D13" s="2">
        <v>8181</v>
      </c>
      <c r="E13" s="3">
        <f t="shared" si="0"/>
        <v>1.0847255369928401</v>
      </c>
      <c r="F13" s="2">
        <v>8</v>
      </c>
      <c r="G13" s="2">
        <v>9550</v>
      </c>
      <c r="H13" s="3">
        <f t="shared" si="1"/>
        <v>1.2662423760275789</v>
      </c>
    </row>
    <row r="14" spans="1:8" x14ac:dyDescent="0.3">
      <c r="A14" s="2" t="s">
        <v>36</v>
      </c>
      <c r="B14" s="2">
        <v>675</v>
      </c>
      <c r="C14" s="2">
        <v>1</v>
      </c>
      <c r="D14" s="2">
        <v>796</v>
      </c>
      <c r="E14" s="3">
        <f t="shared" si="0"/>
        <v>1.1792592592592592</v>
      </c>
      <c r="F14" s="2">
        <v>22</v>
      </c>
      <c r="G14" s="2">
        <v>862</v>
      </c>
      <c r="H14" s="3">
        <f t="shared" si="1"/>
        <v>1.277037037037037</v>
      </c>
    </row>
    <row r="15" spans="1:8" x14ac:dyDescent="0.3">
      <c r="A15" s="2" t="s">
        <v>19</v>
      </c>
      <c r="B15" s="2">
        <v>538</v>
      </c>
      <c r="C15" s="2">
        <v>1</v>
      </c>
      <c r="D15" s="2">
        <v>608</v>
      </c>
      <c r="E15" s="3">
        <f t="shared" si="0"/>
        <v>1.1301115241635689</v>
      </c>
      <c r="F15" s="2">
        <v>29</v>
      </c>
      <c r="G15" s="2">
        <v>674</v>
      </c>
      <c r="H15" s="3">
        <f t="shared" si="1"/>
        <v>1.2527881040892193</v>
      </c>
    </row>
    <row r="16" spans="1:8" x14ac:dyDescent="0.3">
      <c r="A16" s="2" t="s">
        <v>34</v>
      </c>
      <c r="B16" s="2">
        <v>108159</v>
      </c>
      <c r="C16" s="2">
        <v>1</v>
      </c>
      <c r="D16" s="2">
        <v>130921</v>
      </c>
      <c r="E16" s="3">
        <f t="shared" si="0"/>
        <v>1.2104494309303895</v>
      </c>
      <c r="F16" s="2">
        <v>29</v>
      </c>
      <c r="G16" s="2">
        <v>142085</v>
      </c>
      <c r="H16" s="3">
        <f t="shared" si="1"/>
        <v>1.3136678408639133</v>
      </c>
    </row>
    <row r="17" spans="1:8" x14ac:dyDescent="0.3">
      <c r="A17" s="2" t="s">
        <v>26</v>
      </c>
      <c r="B17" s="2">
        <v>502</v>
      </c>
      <c r="C17" s="2">
        <v>2</v>
      </c>
      <c r="D17" s="2">
        <v>583</v>
      </c>
      <c r="E17" s="3">
        <f t="shared" si="0"/>
        <v>1.1613545816733069</v>
      </c>
      <c r="F17" s="2">
        <v>69</v>
      </c>
      <c r="G17" s="2">
        <v>634</v>
      </c>
      <c r="H17" s="3">
        <f t="shared" si="1"/>
        <v>1.2629482071713147</v>
      </c>
    </row>
    <row r="18" spans="1:8" x14ac:dyDescent="0.3">
      <c r="A18" s="2" t="s">
        <v>27</v>
      </c>
      <c r="B18" s="2">
        <v>21282</v>
      </c>
      <c r="C18" s="2">
        <v>2</v>
      </c>
      <c r="D18" s="2">
        <v>24698</v>
      </c>
      <c r="E18" s="3">
        <f t="shared" si="0"/>
        <v>1.1605112301475424</v>
      </c>
      <c r="F18" s="2">
        <v>84</v>
      </c>
      <c r="G18" s="2">
        <v>26442</v>
      </c>
      <c r="H18" s="3">
        <f t="shared" si="1"/>
        <v>1.2424584155624472</v>
      </c>
    </row>
    <row r="19" spans="1:8" x14ac:dyDescent="0.3">
      <c r="A19" s="2" t="s">
        <v>28</v>
      </c>
      <c r="B19" s="2">
        <v>20749</v>
      </c>
      <c r="C19" s="2">
        <v>3</v>
      </c>
      <c r="D19" s="2">
        <v>23660</v>
      </c>
      <c r="E19" s="3">
        <f t="shared" si="0"/>
        <v>1.1402959178755603</v>
      </c>
      <c r="F19" s="2">
        <v>86</v>
      </c>
      <c r="G19" s="2">
        <v>27130</v>
      </c>
      <c r="H19" s="3">
        <f t="shared" si="1"/>
        <v>1.3075328931514771</v>
      </c>
    </row>
    <row r="20" spans="1:8" x14ac:dyDescent="0.3">
      <c r="A20" s="2" t="s">
        <v>29</v>
      </c>
      <c r="B20" s="2">
        <v>21294</v>
      </c>
      <c r="C20" s="2">
        <v>3</v>
      </c>
      <c r="D20" s="2">
        <v>24852</v>
      </c>
      <c r="E20" s="3">
        <f t="shared" si="0"/>
        <v>1.1670893209354747</v>
      </c>
      <c r="F20" s="2">
        <v>84</v>
      </c>
      <c r="G20" s="2">
        <v>26002</v>
      </c>
      <c r="H20" s="3">
        <f t="shared" si="1"/>
        <v>1.2210951441720672</v>
      </c>
    </row>
    <row r="21" spans="1:8" x14ac:dyDescent="0.3">
      <c r="A21" s="2" t="s">
        <v>35</v>
      </c>
      <c r="B21" s="2">
        <v>7755</v>
      </c>
      <c r="C21" s="2">
        <v>3</v>
      </c>
      <c r="D21" s="2">
        <v>9424</v>
      </c>
      <c r="E21" s="3">
        <f t="shared" si="0"/>
        <v>1.2152159896840748</v>
      </c>
      <c r="F21" s="2">
        <v>84</v>
      </c>
      <c r="G21" s="2">
        <v>10646</v>
      </c>
      <c r="H21" s="3">
        <f t="shared" si="1"/>
        <v>1.3727917472598323</v>
      </c>
    </row>
    <row r="22" spans="1:8" x14ac:dyDescent="0.3">
      <c r="A22" s="2" t="s">
        <v>17</v>
      </c>
      <c r="B22" s="2">
        <v>629</v>
      </c>
      <c r="C22" s="2">
        <v>4</v>
      </c>
      <c r="D22" s="2">
        <v>746</v>
      </c>
      <c r="E22" s="3">
        <f t="shared" si="0"/>
        <v>1.1860095389507155</v>
      </c>
      <c r="F22" s="2">
        <v>85</v>
      </c>
      <c r="G22" s="2">
        <v>822</v>
      </c>
      <c r="H22" s="3">
        <f t="shared" si="1"/>
        <v>1.3068362480127187</v>
      </c>
    </row>
    <row r="23" spans="1:8" x14ac:dyDescent="0.3">
      <c r="A23" s="2" t="s">
        <v>30</v>
      </c>
      <c r="B23" s="2">
        <v>14379</v>
      </c>
      <c r="C23" s="2">
        <v>3</v>
      </c>
      <c r="D23" s="2">
        <v>16935</v>
      </c>
      <c r="E23" s="3">
        <f t="shared" si="0"/>
        <v>1.177759232213645</v>
      </c>
      <c r="F23" s="2">
        <v>100</v>
      </c>
      <c r="G23" s="2">
        <v>18901</v>
      </c>
      <c r="H23" s="3">
        <f t="shared" si="1"/>
        <v>1.3144864037832951</v>
      </c>
    </row>
    <row r="24" spans="1:8" x14ac:dyDescent="0.3">
      <c r="A24" s="2" t="s">
        <v>22</v>
      </c>
      <c r="B24" s="2">
        <v>1667</v>
      </c>
      <c r="C24" s="2">
        <v>4</v>
      </c>
      <c r="D24" s="2">
        <v>1836</v>
      </c>
      <c r="E24" s="3">
        <f t="shared" si="0"/>
        <v>1.101379724055189</v>
      </c>
      <c r="F24" s="2">
        <v>169</v>
      </c>
      <c r="G24" s="2">
        <v>2101</v>
      </c>
      <c r="H24" s="3">
        <f t="shared" si="1"/>
        <v>1.2603479304139171</v>
      </c>
    </row>
    <row r="25" spans="1:8" x14ac:dyDescent="0.3">
      <c r="A25" s="2" t="s">
        <v>15</v>
      </c>
      <c r="B25" s="2">
        <v>6105</v>
      </c>
      <c r="C25" s="2">
        <v>5</v>
      </c>
      <c r="D25" s="2">
        <v>7049</v>
      </c>
      <c r="E25" s="3">
        <f t="shared" si="0"/>
        <v>1.1546273546273547</v>
      </c>
      <c r="F25" s="2">
        <v>234</v>
      </c>
      <c r="G25" s="2">
        <v>7906</v>
      </c>
      <c r="H25" s="3">
        <f t="shared" si="1"/>
        <v>1.2950040950040951</v>
      </c>
    </row>
    <row r="26" spans="1:8" x14ac:dyDescent="0.3">
      <c r="A26" s="2" t="s">
        <v>16</v>
      </c>
      <c r="B26" s="2">
        <v>6527</v>
      </c>
      <c r="C26" s="2">
        <v>9</v>
      </c>
      <c r="D26" s="2">
        <v>7213</v>
      </c>
      <c r="E26" s="3">
        <f t="shared" si="0"/>
        <v>1.105101884479853</v>
      </c>
      <c r="F26" s="2">
        <v>416</v>
      </c>
      <c r="G26" s="2">
        <v>8140</v>
      </c>
      <c r="H26" s="3">
        <f t="shared" si="1"/>
        <v>1.24712731729738</v>
      </c>
    </row>
    <row r="27" spans="1:8" x14ac:dyDescent="0.3">
      <c r="A27" s="2" t="s">
        <v>24</v>
      </c>
      <c r="B27" s="2">
        <v>533</v>
      </c>
      <c r="C27" s="2">
        <v>13</v>
      </c>
      <c r="D27" s="2">
        <v>547</v>
      </c>
      <c r="E27" s="3">
        <f t="shared" si="0"/>
        <v>1.026266416510319</v>
      </c>
      <c r="F27" s="2">
        <v>1306</v>
      </c>
      <c r="G27" s="2">
        <v>588</v>
      </c>
      <c r="H27" s="3">
        <f t="shared" si="1"/>
        <v>1.1031894934333959</v>
      </c>
    </row>
    <row r="28" spans="1:8" x14ac:dyDescent="0.3">
      <c r="A28" s="2" t="s">
        <v>37</v>
      </c>
      <c r="B28" s="2">
        <v>3854</v>
      </c>
      <c r="C28" s="2">
        <v>20</v>
      </c>
      <c r="D28" s="2">
        <v>4647</v>
      </c>
      <c r="E28" s="3">
        <f t="shared" si="0"/>
        <v>1.2057602490918526</v>
      </c>
      <c r="F28" s="2">
        <v>1989</v>
      </c>
      <c r="G28" s="2">
        <v>5122</v>
      </c>
      <c r="H28" s="3">
        <f t="shared" si="1"/>
        <v>1.3290088220031135</v>
      </c>
    </row>
    <row r="29" spans="1:8" x14ac:dyDescent="0.3">
      <c r="A29" s="2" t="s">
        <v>11</v>
      </c>
      <c r="B29" s="2">
        <v>2579</v>
      </c>
      <c r="C29" s="2">
        <v>31</v>
      </c>
      <c r="D29" s="2">
        <v>2975</v>
      </c>
      <c r="E29" s="3">
        <f t="shared" si="0"/>
        <v>1.1535478867778208</v>
      </c>
      <c r="F29" s="2">
        <v>4514</v>
      </c>
      <c r="G29" s="2">
        <v>3313</v>
      </c>
      <c r="H29" s="3">
        <f t="shared" si="1"/>
        <v>1.2846064366033347</v>
      </c>
    </row>
    <row r="30" spans="1:8" x14ac:dyDescent="0.3">
      <c r="A30" s="2" t="s">
        <v>32</v>
      </c>
      <c r="B30" s="2">
        <v>50778</v>
      </c>
      <c r="C30" s="2">
        <v>132</v>
      </c>
      <c r="D30" s="2">
        <v>58950</v>
      </c>
      <c r="E30" s="3">
        <f t="shared" si="0"/>
        <v>1.1609358383551931</v>
      </c>
      <c r="F30" s="2">
        <v>29490</v>
      </c>
      <c r="G30" s="2">
        <v>68397</v>
      </c>
      <c r="H30" s="3">
        <f t="shared" si="1"/>
        <v>1.3469809760132341</v>
      </c>
    </row>
    <row r="31" spans="1:8" x14ac:dyDescent="0.3">
      <c r="A31" s="2" t="s">
        <v>31</v>
      </c>
      <c r="B31" s="2">
        <v>19311</v>
      </c>
      <c r="C31" s="2">
        <v>229</v>
      </c>
      <c r="D31" s="2">
        <v>17927</v>
      </c>
      <c r="E31" s="3">
        <f t="shared" si="0"/>
        <v>0.92833100305525351</v>
      </c>
      <c r="F31" s="2">
        <v>70952</v>
      </c>
      <c r="G31" s="2">
        <v>20958</v>
      </c>
      <c r="H31" s="3">
        <f t="shared" si="1"/>
        <v>1.0852881777225416</v>
      </c>
    </row>
    <row r="32" spans="1:8" x14ac:dyDescent="0.3">
      <c r="A32" s="2" t="s">
        <v>25</v>
      </c>
      <c r="B32" s="2">
        <v>3894</v>
      </c>
      <c r="C32" s="2">
        <v>341</v>
      </c>
      <c r="D32" s="2">
        <v>3711</v>
      </c>
      <c r="E32" s="3">
        <f t="shared" si="0"/>
        <v>0.95300462249614792</v>
      </c>
      <c r="F32" s="2">
        <v>109900</v>
      </c>
      <c r="G32" s="2">
        <v>3967</v>
      </c>
      <c r="H32" s="3">
        <f t="shared" si="1"/>
        <v>1.0187467899332305</v>
      </c>
    </row>
    <row r="33" spans="1:8" x14ac:dyDescent="0.3">
      <c r="A33" s="2" t="s">
        <v>33</v>
      </c>
      <c r="B33" s="2">
        <v>259045</v>
      </c>
      <c r="C33" s="2">
        <v>1196</v>
      </c>
      <c r="D33" s="2">
        <v>313745</v>
      </c>
      <c r="E33" s="3">
        <f t="shared" si="0"/>
        <v>1.2111602231272558</v>
      </c>
      <c r="F33" s="2">
        <v>502354</v>
      </c>
      <c r="G33" s="2">
        <v>347246</v>
      </c>
      <c r="H33" s="3">
        <f t="shared" si="1"/>
        <v>1.3404852438765464</v>
      </c>
    </row>
    <row r="34" spans="1:8" x14ac:dyDescent="0.3">
      <c r="A34" s="5" t="s">
        <v>48</v>
      </c>
      <c r="B34" s="2" t="s">
        <v>5</v>
      </c>
      <c r="C34" s="6">
        <f>AVERAGE(C3:C33)</f>
        <v>64.645161290322577</v>
      </c>
      <c r="D34" s="5"/>
      <c r="E34" s="5"/>
      <c r="F34" s="6">
        <f>AVERAGE(F3:F33)</f>
        <v>23291.032258064515</v>
      </c>
      <c r="G34" s="5"/>
      <c r="H34" s="5"/>
    </row>
    <row r="35" spans="1:8" x14ac:dyDescent="0.3">
      <c r="A35" s="5"/>
      <c r="B35" s="2" t="s">
        <v>49</v>
      </c>
      <c r="C35" s="6">
        <f>AVERAGE(E4:E34)</f>
        <v>1.1180298663441703</v>
      </c>
      <c r="D35" s="5"/>
      <c r="E35" s="5"/>
      <c r="F35" s="6">
        <f>AVERAGE(H4:H34)</f>
        <v>1.2180149838752463</v>
      </c>
      <c r="G35" s="5"/>
      <c r="H35" s="5"/>
    </row>
  </sheetData>
  <sortState xmlns:xlrd2="http://schemas.microsoft.com/office/spreadsheetml/2017/richdata2" ref="A3:H33">
    <sortCondition ref="F3:F33"/>
  </sortState>
  <mergeCells count="9">
    <mergeCell ref="C1:E1"/>
    <mergeCell ref="B1:B2"/>
    <mergeCell ref="F1:H1"/>
    <mergeCell ref="A1:A2"/>
    <mergeCell ref="C34:E34"/>
    <mergeCell ref="F34:H34"/>
    <mergeCell ref="A34:A35"/>
    <mergeCell ref="C35:E35"/>
    <mergeCell ref="F35:H35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EXACT</vt:lpstr>
      <vt:lpstr>APPRO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Linkin Florenz</cp:lastModifiedBy>
  <dcterms:created xsi:type="dcterms:W3CDTF">2015-06-05T18:19:34Z</dcterms:created>
  <dcterms:modified xsi:type="dcterms:W3CDTF">2025-06-01T14:49:45Z</dcterms:modified>
</cp:coreProperties>
</file>