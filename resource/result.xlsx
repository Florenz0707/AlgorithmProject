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b1fc4107772a6185/Desktop/"/>
    </mc:Choice>
  </mc:AlternateContent>
  <xr:revisionPtr revIDLastSave="76" documentId="13_ncr:1_{8B51F813-F251-46DF-93E0-3CF12D1D0C85}" xr6:coauthVersionLast="47" xr6:coauthVersionMax="47" xr10:uidLastSave="{FB39C917-9143-4A67-8FA2-9A11F43B6787}"/>
  <bookViews>
    <workbookView xWindow="-110" yWindow="-110" windowWidth="25820" windowHeight="13900" activeTab="1" xr2:uid="{00000000-000D-0000-FFFF-FFFF00000000}"/>
  </bookViews>
  <sheets>
    <sheet name="EXACT" sheetId="9" r:id="rId1"/>
    <sheet name="APPRO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1" i="10" l="1"/>
  <c r="I33" i="10"/>
  <c r="I32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" i="10"/>
  <c r="E30" i="10"/>
  <c r="H30" i="10"/>
  <c r="F32" i="10"/>
  <c r="C32" i="10"/>
  <c r="E8" i="10"/>
  <c r="H8" i="10"/>
  <c r="H4" i="10"/>
  <c r="E4" i="10"/>
  <c r="H11" i="10"/>
  <c r="H9" i="10"/>
  <c r="H10" i="10"/>
  <c r="H13" i="10"/>
  <c r="H25" i="10"/>
  <c r="H26" i="10"/>
  <c r="H22" i="10"/>
  <c r="H12" i="10"/>
  <c r="H15" i="10"/>
  <c r="H3" i="10"/>
  <c r="H24" i="10"/>
  <c r="H6" i="10"/>
  <c r="H27" i="10"/>
  <c r="H17" i="10"/>
  <c r="H18" i="10"/>
  <c r="H19" i="10"/>
  <c r="H20" i="10"/>
  <c r="H23" i="10"/>
  <c r="H31" i="10"/>
  <c r="H16" i="10"/>
  <c r="H21" i="10"/>
  <c r="H14" i="10"/>
  <c r="H28" i="10"/>
  <c r="H5" i="10"/>
  <c r="H7" i="10"/>
  <c r="H29" i="10"/>
  <c r="E29" i="10"/>
  <c r="E11" i="10"/>
  <c r="E9" i="10"/>
  <c r="E10" i="10"/>
  <c r="E13" i="10"/>
  <c r="E25" i="10"/>
  <c r="E26" i="10"/>
  <c r="E22" i="10"/>
  <c r="E12" i="10"/>
  <c r="E15" i="10"/>
  <c r="E3" i="10"/>
  <c r="E24" i="10"/>
  <c r="E6" i="10"/>
  <c r="E27" i="10"/>
  <c r="E17" i="10"/>
  <c r="E18" i="10"/>
  <c r="E19" i="10"/>
  <c r="E20" i="10"/>
  <c r="E23" i="10"/>
  <c r="E31" i="10"/>
  <c r="E16" i="10"/>
  <c r="E21" i="10"/>
  <c r="E14" i="10"/>
  <c r="E28" i="10"/>
  <c r="E5" i="10"/>
  <c r="E7" i="10"/>
  <c r="F33" i="10" l="1"/>
  <c r="C33" i="10"/>
</calcChain>
</file>

<file path=xl/sharedStrings.xml><?xml version="1.0" encoding="utf-8"?>
<sst xmlns="http://schemas.openxmlformats.org/spreadsheetml/2006/main" count="65" uniqueCount="49">
  <si>
    <t>att48</t>
    <phoneticPr fontId="1" type="noConversion"/>
  </si>
  <si>
    <t>p15</t>
    <phoneticPr fontId="1" type="noConversion"/>
  </si>
  <si>
    <t>gr17</t>
    <phoneticPr fontId="1" type="noConversion"/>
  </si>
  <si>
    <t>five5</t>
    <phoneticPr fontId="1" type="noConversion"/>
  </si>
  <si>
    <t>MIN_COST</t>
    <phoneticPr fontId="1" type="noConversion"/>
  </si>
  <si>
    <t>Time</t>
    <phoneticPr fontId="1" type="noConversion"/>
  </si>
  <si>
    <t>rec_cnt</t>
    <phoneticPr fontId="1" type="noConversion"/>
  </si>
  <si>
    <t>greedy</t>
    <phoneticPr fontId="1" type="noConversion"/>
  </si>
  <si>
    <t>min_cost</t>
    <phoneticPr fontId="1" type="noConversion"/>
  </si>
  <si>
    <t>ratio</t>
    <phoneticPr fontId="1" type="noConversion"/>
  </si>
  <si>
    <t>a280</t>
    <phoneticPr fontId="1" type="noConversion"/>
  </si>
  <si>
    <t>bayg29</t>
    <phoneticPr fontId="1" type="noConversion"/>
  </si>
  <si>
    <t>bays29</t>
    <phoneticPr fontId="1" type="noConversion"/>
  </si>
  <si>
    <t>berlin52</t>
    <phoneticPr fontId="1" type="noConversion"/>
  </si>
  <si>
    <t>ch130</t>
    <phoneticPr fontId="1" type="noConversion"/>
  </si>
  <si>
    <t>ch150</t>
    <phoneticPr fontId="1" type="noConversion"/>
  </si>
  <si>
    <t>eil101</t>
    <phoneticPr fontId="1" type="noConversion"/>
  </si>
  <si>
    <t>eil51</t>
    <phoneticPr fontId="1" type="noConversion"/>
  </si>
  <si>
    <t>eil76</t>
    <phoneticPr fontId="1" type="noConversion"/>
  </si>
  <si>
    <t>five5</t>
    <phoneticPr fontId="1" type="noConversion"/>
  </si>
  <si>
    <t>fri26</t>
    <phoneticPr fontId="1" type="noConversion"/>
  </si>
  <si>
    <t>gr120</t>
    <phoneticPr fontId="1" type="noConversion"/>
  </si>
  <si>
    <t>gr17</t>
    <phoneticPr fontId="1" type="noConversion"/>
  </si>
  <si>
    <t>gr202</t>
    <phoneticPr fontId="1" type="noConversion"/>
  </si>
  <si>
    <t>gr96</t>
    <phoneticPr fontId="1" type="noConversion"/>
  </si>
  <si>
    <t>kroA100</t>
    <phoneticPr fontId="1" type="noConversion"/>
  </si>
  <si>
    <t>kroC100</t>
    <phoneticPr fontId="1" type="noConversion"/>
  </si>
  <si>
    <t>kroD100</t>
    <phoneticPr fontId="1" type="noConversion"/>
  </si>
  <si>
    <t>lin105</t>
    <phoneticPr fontId="1" type="noConversion"/>
  </si>
  <si>
    <t>pcb442</t>
    <phoneticPr fontId="1" type="noConversion"/>
  </si>
  <si>
    <t>pr1002</t>
    <phoneticPr fontId="1" type="noConversion"/>
  </si>
  <si>
    <t>pr76</t>
    <phoneticPr fontId="1" type="noConversion"/>
  </si>
  <si>
    <t>rd100</t>
    <phoneticPr fontId="1" type="noConversion"/>
  </si>
  <si>
    <t>st70</t>
    <phoneticPr fontId="1" type="noConversion"/>
  </si>
  <si>
    <t>tsp225</t>
    <phoneticPr fontId="1" type="noConversion"/>
  </si>
  <si>
    <t>ulysses16</t>
    <phoneticPr fontId="1" type="noConversion"/>
  </si>
  <si>
    <t>ulysses22</t>
    <phoneticPr fontId="1" type="noConversion"/>
  </si>
  <si>
    <t>dfs-0</t>
    <phoneticPr fontId="1" type="noConversion"/>
  </si>
  <si>
    <t>dfs-1</t>
    <phoneticPr fontId="1" type="noConversion"/>
  </si>
  <si>
    <t>dfs-2</t>
  </si>
  <si>
    <t>bfs-0</t>
  </si>
  <si>
    <t>dp-0</t>
  </si>
  <si>
    <t>Time</t>
    <phoneticPr fontId="1" type="noConversion"/>
  </si>
  <si>
    <t>ulyssses16</t>
    <phoneticPr fontId="1" type="noConversion"/>
  </si>
  <si>
    <t>DATASET</t>
    <phoneticPr fontId="1" type="noConversion"/>
  </si>
  <si>
    <t>Average</t>
    <phoneticPr fontId="1" type="noConversion"/>
  </si>
  <si>
    <t>Ratio</t>
    <phoneticPr fontId="1" type="noConversion"/>
  </si>
  <si>
    <t>MST-0</t>
    <phoneticPr fontId="1" type="noConversion"/>
  </si>
  <si>
    <t>MST-1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</si>
</sst>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032F-7D46-42A8-94FF-8D70120A2E4C}">
  <dimension ref="A1:J6"/>
  <sheetViews>
    <sheetView workbookViewId="0">
      <selection activeCell="G11" sqref="G11"/>
    </sheetView>
  </sheetViews>
  <sheetFormatPr defaultRowHeight="14" x14ac:dyDescent="0.3"/>
  <cols>
    <col min="1" max="1" width="8.6640625" style="1"/>
    <col min="2" max="2" width="12" style="1" customWidth="1"/>
    <col min="3" max="3" width="8.6640625" style="1" customWidth="1"/>
    <col min="4" max="4" width="8.6640625" style="1"/>
    <col min="5" max="5" width="12.33203125" style="1" bestFit="1" customWidth="1"/>
    <col min="6" max="6" width="8.6640625" style="1"/>
    <col min="7" max="7" width="12.75" style="1" customWidth="1"/>
    <col min="8" max="8" width="8.6640625" style="1"/>
    <col min="9" max="9" width="13.58203125" style="1" customWidth="1"/>
    <col min="10" max="10" width="11.4140625" style="1" customWidth="1"/>
    <col min="11" max="11" width="8.6640625" style="1"/>
    <col min="12" max="12" width="10.9140625" style="1" customWidth="1"/>
    <col min="13" max="16384" width="8.6640625" style="1"/>
  </cols>
  <sheetData>
    <row r="1" spans="1:10" x14ac:dyDescent="0.3">
      <c r="A1" s="5" t="s">
        <v>44</v>
      </c>
      <c r="B1" s="5" t="s">
        <v>4</v>
      </c>
      <c r="C1" s="2" t="s">
        <v>41</v>
      </c>
      <c r="D1" s="5" t="s">
        <v>37</v>
      </c>
      <c r="E1" s="5"/>
      <c r="F1" s="5" t="s">
        <v>38</v>
      </c>
      <c r="G1" s="5"/>
      <c r="H1" s="5" t="s">
        <v>39</v>
      </c>
      <c r="I1" s="5"/>
      <c r="J1" s="2" t="s">
        <v>40</v>
      </c>
    </row>
    <row r="2" spans="1:10" x14ac:dyDescent="0.3">
      <c r="A2" s="5"/>
      <c r="B2" s="5"/>
      <c r="C2" s="2" t="s">
        <v>42</v>
      </c>
      <c r="D2" s="2" t="s">
        <v>5</v>
      </c>
      <c r="E2" s="2" t="s">
        <v>6</v>
      </c>
      <c r="F2" s="2" t="s">
        <v>5</v>
      </c>
      <c r="G2" s="2" t="s">
        <v>6</v>
      </c>
      <c r="H2" s="2" t="s">
        <v>5</v>
      </c>
      <c r="I2" s="2" t="s">
        <v>6</v>
      </c>
      <c r="J2" s="2" t="s">
        <v>42</v>
      </c>
    </row>
    <row r="3" spans="1:10" x14ac:dyDescent="0.3">
      <c r="A3" s="2" t="s">
        <v>3</v>
      </c>
      <c r="B3" s="4">
        <v>19</v>
      </c>
      <c r="C3" s="2">
        <v>0</v>
      </c>
      <c r="D3" s="1">
        <v>0</v>
      </c>
      <c r="E3" s="1">
        <v>62</v>
      </c>
      <c r="F3" s="4">
        <v>0</v>
      </c>
      <c r="G3" s="4">
        <v>31</v>
      </c>
      <c r="H3" s="4">
        <v>0</v>
      </c>
      <c r="I3" s="4">
        <v>62</v>
      </c>
      <c r="J3" s="4">
        <v>0.33</v>
      </c>
    </row>
    <row r="4" spans="1:10" x14ac:dyDescent="0.3">
      <c r="A4" s="2" t="s">
        <v>1</v>
      </c>
      <c r="B4" s="2">
        <v>291</v>
      </c>
      <c r="C4" s="2">
        <v>16</v>
      </c>
      <c r="D4" s="4">
        <v>8467.33</v>
      </c>
      <c r="E4" s="4">
        <v>364724160</v>
      </c>
      <c r="F4" s="4">
        <v>34</v>
      </c>
      <c r="G4" s="4">
        <v>1613542</v>
      </c>
      <c r="H4" s="4">
        <v>31786.33</v>
      </c>
      <c r="I4" s="4">
        <v>207713158</v>
      </c>
      <c r="J4" s="2"/>
    </row>
    <row r="5" spans="1:10" x14ac:dyDescent="0.3">
      <c r="A5" s="4" t="s">
        <v>43</v>
      </c>
      <c r="B5" s="2">
        <v>71</v>
      </c>
      <c r="C5" s="2">
        <v>33</v>
      </c>
      <c r="D5" s="2"/>
      <c r="E5" s="2"/>
      <c r="F5" s="2">
        <v>302456</v>
      </c>
      <c r="G5" s="2">
        <v>15887259562</v>
      </c>
      <c r="H5" s="2"/>
      <c r="I5" s="2"/>
      <c r="J5" s="2"/>
    </row>
    <row r="6" spans="1:10" x14ac:dyDescent="0.3">
      <c r="A6" s="2" t="s">
        <v>2</v>
      </c>
      <c r="B6" s="2">
        <v>2085</v>
      </c>
      <c r="C6" s="2">
        <v>70</v>
      </c>
      <c r="D6" s="2"/>
      <c r="E6" s="2"/>
      <c r="F6" s="4">
        <v>211214.33</v>
      </c>
      <c r="G6" s="4">
        <v>12457317253</v>
      </c>
      <c r="H6" s="2"/>
      <c r="I6" s="2"/>
      <c r="J6" s="2"/>
    </row>
  </sheetData>
  <mergeCells count="5">
    <mergeCell ref="F1:G1"/>
    <mergeCell ref="B1:B2"/>
    <mergeCell ref="D1:E1"/>
    <mergeCell ref="H1:I1"/>
    <mergeCell ref="A1:A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DB66E-1FFD-4D32-BA5D-DB6972467A37}">
  <dimension ref="A1:K33"/>
  <sheetViews>
    <sheetView tabSelected="1" workbookViewId="0">
      <selection activeCell="K31" sqref="K31"/>
    </sheetView>
  </sheetViews>
  <sheetFormatPr defaultRowHeight="14" x14ac:dyDescent="0.3"/>
  <cols>
    <col min="1" max="1" width="11.33203125" style="1" customWidth="1"/>
    <col min="2" max="2" width="13.4140625" style="1" customWidth="1"/>
    <col min="3" max="16384" width="8.6640625" style="1"/>
  </cols>
  <sheetData>
    <row r="1" spans="1:11" x14ac:dyDescent="0.3">
      <c r="A1" s="5" t="s">
        <v>44</v>
      </c>
      <c r="B1" s="5" t="s">
        <v>4</v>
      </c>
      <c r="C1" s="5" t="s">
        <v>7</v>
      </c>
      <c r="D1" s="5"/>
      <c r="E1" s="5"/>
      <c r="F1" s="5" t="s">
        <v>47</v>
      </c>
      <c r="G1" s="5"/>
      <c r="H1" s="5"/>
      <c r="I1" s="5" t="s">
        <v>48</v>
      </c>
      <c r="J1" s="5"/>
      <c r="K1" s="5"/>
    </row>
    <row r="2" spans="1:11" x14ac:dyDescent="0.3">
      <c r="A2" s="5"/>
      <c r="B2" s="5"/>
      <c r="C2" s="2" t="s">
        <v>5</v>
      </c>
      <c r="D2" s="2" t="s">
        <v>8</v>
      </c>
      <c r="E2" s="2" t="s">
        <v>9</v>
      </c>
      <c r="F2" s="2" t="s">
        <v>5</v>
      </c>
      <c r="G2" s="2" t="s">
        <v>8</v>
      </c>
      <c r="H2" s="2" t="s">
        <v>9</v>
      </c>
      <c r="I2" s="2" t="s">
        <v>5</v>
      </c>
      <c r="J2" s="2" t="s">
        <v>8</v>
      </c>
      <c r="K2" s="2" t="s">
        <v>9</v>
      </c>
    </row>
    <row r="3" spans="1:11" x14ac:dyDescent="0.3">
      <c r="A3" s="2" t="s">
        <v>19</v>
      </c>
      <c r="B3" s="2">
        <v>19</v>
      </c>
      <c r="C3" s="2">
        <v>0</v>
      </c>
      <c r="D3" s="2">
        <v>21</v>
      </c>
      <c r="E3" s="3">
        <f t="shared" ref="E3:E31" si="0">D3/B3</f>
        <v>1.1052631578947369</v>
      </c>
      <c r="F3" s="2">
        <v>0</v>
      </c>
      <c r="G3" s="2">
        <v>21</v>
      </c>
      <c r="H3" s="3">
        <f t="shared" ref="H3:H31" si="1">G3/B3</f>
        <v>1.1052631578947369</v>
      </c>
      <c r="I3" s="1">
        <v>0</v>
      </c>
      <c r="J3" s="1">
        <v>23</v>
      </c>
      <c r="K3" s="7">
        <f>J3/B3</f>
        <v>1.2105263157894737</v>
      </c>
    </row>
    <row r="4" spans="1:11" x14ac:dyDescent="0.3">
      <c r="A4" s="2" t="s">
        <v>1</v>
      </c>
      <c r="B4" s="2">
        <v>291</v>
      </c>
      <c r="C4" s="2">
        <v>0</v>
      </c>
      <c r="D4" s="2">
        <v>291</v>
      </c>
      <c r="E4" s="3">
        <f t="shared" si="0"/>
        <v>1</v>
      </c>
      <c r="F4" s="2">
        <v>0</v>
      </c>
      <c r="G4" s="2">
        <v>299</v>
      </c>
      <c r="H4" s="3">
        <f t="shared" si="1"/>
        <v>1.0274914089347078</v>
      </c>
      <c r="I4" s="1">
        <v>0</v>
      </c>
      <c r="J4" s="1">
        <v>291</v>
      </c>
      <c r="K4" s="7">
        <f t="shared" ref="K4:K31" si="2">J4/B4</f>
        <v>1</v>
      </c>
    </row>
    <row r="5" spans="1:11" x14ac:dyDescent="0.3">
      <c r="A5" s="2" t="s">
        <v>35</v>
      </c>
      <c r="B5" s="2">
        <v>71</v>
      </c>
      <c r="C5" s="2">
        <v>0</v>
      </c>
      <c r="D5" s="2">
        <v>74</v>
      </c>
      <c r="E5" s="3">
        <f t="shared" si="0"/>
        <v>1.0422535211267605</v>
      </c>
      <c r="F5" s="2">
        <v>0</v>
      </c>
      <c r="G5" s="2">
        <v>72</v>
      </c>
      <c r="H5" s="3">
        <f t="shared" si="1"/>
        <v>1.0140845070422535</v>
      </c>
      <c r="I5" s="1">
        <v>0</v>
      </c>
      <c r="J5" s="1">
        <v>79</v>
      </c>
      <c r="K5" s="7">
        <f t="shared" si="2"/>
        <v>1.1126760563380282</v>
      </c>
    </row>
    <row r="6" spans="1:11" x14ac:dyDescent="0.3">
      <c r="A6" s="2" t="s">
        <v>22</v>
      </c>
      <c r="B6" s="2">
        <v>2085</v>
      </c>
      <c r="C6" s="2">
        <v>0</v>
      </c>
      <c r="D6" s="2">
        <v>2178</v>
      </c>
      <c r="E6" s="3">
        <f t="shared" si="0"/>
        <v>1.0446043165467627</v>
      </c>
      <c r="F6" s="2">
        <v>0</v>
      </c>
      <c r="G6" s="2">
        <v>2210</v>
      </c>
      <c r="H6" s="3">
        <f t="shared" si="1"/>
        <v>1.0599520383693046</v>
      </c>
      <c r="I6" s="1">
        <v>0</v>
      </c>
      <c r="J6" s="1">
        <v>2352</v>
      </c>
      <c r="K6" s="7">
        <f t="shared" si="2"/>
        <v>1.1280575539568345</v>
      </c>
    </row>
    <row r="7" spans="1:11" x14ac:dyDescent="0.3">
      <c r="A7" s="2" t="s">
        <v>36</v>
      </c>
      <c r="B7" s="2">
        <v>73</v>
      </c>
      <c r="C7" s="2">
        <v>0</v>
      </c>
      <c r="D7" s="2">
        <v>86</v>
      </c>
      <c r="E7" s="3">
        <f t="shared" si="0"/>
        <v>1.178082191780822</v>
      </c>
      <c r="F7" s="2">
        <v>2</v>
      </c>
      <c r="G7" s="2">
        <v>75</v>
      </c>
      <c r="H7" s="3">
        <f t="shared" si="1"/>
        <v>1.0273972602739727</v>
      </c>
      <c r="I7" s="1">
        <v>0</v>
      </c>
      <c r="J7" s="1">
        <v>83</v>
      </c>
      <c r="K7" s="7">
        <f t="shared" si="2"/>
        <v>1.1369863013698631</v>
      </c>
    </row>
    <row r="8" spans="1:11" x14ac:dyDescent="0.3">
      <c r="A8" s="2" t="s">
        <v>20</v>
      </c>
      <c r="B8" s="2">
        <v>937</v>
      </c>
      <c r="C8" s="2">
        <v>0</v>
      </c>
      <c r="D8" s="2">
        <v>965</v>
      </c>
      <c r="E8" s="3">
        <f t="shared" si="0"/>
        <v>1.0298826040554963</v>
      </c>
      <c r="F8" s="2">
        <v>0</v>
      </c>
      <c r="G8" s="2">
        <v>1102</v>
      </c>
      <c r="H8" s="3">
        <f t="shared" si="1"/>
        <v>1.176093916755603</v>
      </c>
      <c r="I8" s="1">
        <v>0</v>
      </c>
      <c r="J8" s="1">
        <v>1112</v>
      </c>
      <c r="K8" s="7">
        <f t="shared" si="2"/>
        <v>1.1867662753468518</v>
      </c>
    </row>
    <row r="9" spans="1:11" x14ac:dyDescent="0.3">
      <c r="A9" s="2" t="s">
        <v>11</v>
      </c>
      <c r="B9" s="2">
        <v>9073</v>
      </c>
      <c r="C9" s="2">
        <v>0</v>
      </c>
      <c r="D9" s="2">
        <v>9962</v>
      </c>
      <c r="E9" s="3">
        <f t="shared" si="0"/>
        <v>1.0979830265623278</v>
      </c>
      <c r="F9" s="2">
        <v>2</v>
      </c>
      <c r="G9" s="2">
        <v>10341</v>
      </c>
      <c r="H9" s="3">
        <f t="shared" si="1"/>
        <v>1.1397553179764135</v>
      </c>
      <c r="I9" s="1">
        <v>0</v>
      </c>
      <c r="J9" s="1">
        <v>11812</v>
      </c>
      <c r="K9" s="7">
        <f t="shared" si="2"/>
        <v>1.3018847128843822</v>
      </c>
    </row>
    <row r="10" spans="1:11" x14ac:dyDescent="0.3">
      <c r="A10" s="2" t="s">
        <v>12</v>
      </c>
      <c r="B10" s="2">
        <v>9290</v>
      </c>
      <c r="C10" s="2">
        <v>0</v>
      </c>
      <c r="D10" s="2">
        <v>9962</v>
      </c>
      <c r="E10" s="3">
        <f t="shared" si="0"/>
        <v>1.0723358449946179</v>
      </c>
      <c r="F10" s="2">
        <v>1</v>
      </c>
      <c r="G10" s="2">
        <v>10341</v>
      </c>
      <c r="H10" s="3">
        <f t="shared" si="1"/>
        <v>1.1131324004305705</v>
      </c>
      <c r="I10" s="1">
        <v>0</v>
      </c>
      <c r="J10" s="1">
        <v>11812</v>
      </c>
      <c r="K10" s="7">
        <f t="shared" si="2"/>
        <v>1.2714747039827772</v>
      </c>
    </row>
    <row r="11" spans="1:11" x14ac:dyDescent="0.3">
      <c r="A11" s="2" t="s">
        <v>0</v>
      </c>
      <c r="B11" s="2">
        <v>33523</v>
      </c>
      <c r="C11" s="2">
        <v>0</v>
      </c>
      <c r="D11" s="2">
        <v>37928</v>
      </c>
      <c r="E11" s="3">
        <f t="shared" si="0"/>
        <v>1.1314023207946782</v>
      </c>
      <c r="F11" s="2">
        <v>6</v>
      </c>
      <c r="G11" s="2">
        <v>41190</v>
      </c>
      <c r="H11" s="3">
        <f t="shared" si="1"/>
        <v>1.2287086477940519</v>
      </c>
      <c r="I11" s="1">
        <v>0</v>
      </c>
      <c r="J11" s="1">
        <v>43974</v>
      </c>
      <c r="K11" s="7">
        <f t="shared" si="2"/>
        <v>1.31175610774692</v>
      </c>
    </row>
    <row r="12" spans="1:11" x14ac:dyDescent="0.3">
      <c r="A12" s="2" t="s">
        <v>17</v>
      </c>
      <c r="B12" s="2">
        <v>426</v>
      </c>
      <c r="C12" s="2">
        <v>0</v>
      </c>
      <c r="D12" s="2">
        <v>482</v>
      </c>
      <c r="E12" s="3">
        <f t="shared" si="0"/>
        <v>1.1314553990610328</v>
      </c>
      <c r="F12" s="2">
        <v>7</v>
      </c>
      <c r="G12" s="2">
        <v>556</v>
      </c>
      <c r="H12" s="3">
        <f t="shared" si="1"/>
        <v>1.3051643192488263</v>
      </c>
      <c r="I12" s="1">
        <v>0</v>
      </c>
      <c r="J12" s="1">
        <v>581</v>
      </c>
      <c r="K12" s="7">
        <f t="shared" si="2"/>
        <v>1.363849765258216</v>
      </c>
    </row>
    <row r="13" spans="1:11" x14ac:dyDescent="0.3">
      <c r="A13" s="2" t="s">
        <v>13</v>
      </c>
      <c r="B13" s="2">
        <v>7542</v>
      </c>
      <c r="C13" s="2">
        <v>1</v>
      </c>
      <c r="D13" s="2">
        <v>8181</v>
      </c>
      <c r="E13" s="3">
        <f t="shared" si="0"/>
        <v>1.0847255369928401</v>
      </c>
      <c r="F13" s="2">
        <v>8</v>
      </c>
      <c r="G13" s="2">
        <v>9550</v>
      </c>
      <c r="H13" s="3">
        <f t="shared" si="1"/>
        <v>1.2662423760275789</v>
      </c>
      <c r="I13" s="1">
        <v>0</v>
      </c>
      <c r="J13" s="1">
        <v>10114</v>
      </c>
      <c r="K13" s="7">
        <f t="shared" si="2"/>
        <v>1.3410236011667993</v>
      </c>
    </row>
    <row r="14" spans="1:11" x14ac:dyDescent="0.3">
      <c r="A14" s="2" t="s">
        <v>33</v>
      </c>
      <c r="B14" s="2">
        <v>675</v>
      </c>
      <c r="C14" s="2">
        <v>1</v>
      </c>
      <c r="D14" s="2">
        <v>796</v>
      </c>
      <c r="E14" s="3">
        <f t="shared" si="0"/>
        <v>1.1792592592592592</v>
      </c>
      <c r="F14" s="2">
        <v>22</v>
      </c>
      <c r="G14" s="2">
        <v>862</v>
      </c>
      <c r="H14" s="3">
        <f t="shared" si="1"/>
        <v>1.277037037037037</v>
      </c>
      <c r="I14" s="1">
        <v>0</v>
      </c>
      <c r="J14" s="1">
        <v>888</v>
      </c>
      <c r="K14" s="7">
        <f t="shared" si="2"/>
        <v>1.3155555555555556</v>
      </c>
    </row>
    <row r="15" spans="1:11" x14ac:dyDescent="0.3">
      <c r="A15" s="2" t="s">
        <v>18</v>
      </c>
      <c r="B15" s="2">
        <v>538</v>
      </c>
      <c r="C15" s="2">
        <v>1</v>
      </c>
      <c r="D15" s="2">
        <v>608</v>
      </c>
      <c r="E15" s="3">
        <f t="shared" si="0"/>
        <v>1.1301115241635689</v>
      </c>
      <c r="F15" s="2">
        <v>29</v>
      </c>
      <c r="G15" s="2">
        <v>674</v>
      </c>
      <c r="H15" s="3">
        <f t="shared" si="1"/>
        <v>1.2527881040892193</v>
      </c>
      <c r="I15" s="1">
        <v>0</v>
      </c>
      <c r="J15" s="1">
        <v>711</v>
      </c>
      <c r="K15" s="7">
        <f t="shared" si="2"/>
        <v>1.3215613382899629</v>
      </c>
    </row>
    <row r="16" spans="1:11" x14ac:dyDescent="0.3">
      <c r="A16" s="2" t="s">
        <v>31</v>
      </c>
      <c r="B16" s="2">
        <v>108159</v>
      </c>
      <c r="C16" s="2">
        <v>1</v>
      </c>
      <c r="D16" s="2">
        <v>130921</v>
      </c>
      <c r="E16" s="3">
        <f t="shared" si="0"/>
        <v>1.2104494309303895</v>
      </c>
      <c r="F16" s="2">
        <v>29</v>
      </c>
      <c r="G16" s="2">
        <v>142085</v>
      </c>
      <c r="H16" s="3">
        <f t="shared" si="1"/>
        <v>1.3136678408639133</v>
      </c>
      <c r="I16" s="1">
        <v>0</v>
      </c>
      <c r="J16" s="1">
        <v>145336</v>
      </c>
      <c r="K16" s="7">
        <f t="shared" si="2"/>
        <v>1.3437254412485322</v>
      </c>
    </row>
    <row r="17" spans="1:11" x14ac:dyDescent="0.3">
      <c r="A17" s="2" t="s">
        <v>24</v>
      </c>
      <c r="B17" s="2">
        <v>502</v>
      </c>
      <c r="C17" s="2">
        <v>2</v>
      </c>
      <c r="D17" s="2">
        <v>583</v>
      </c>
      <c r="E17" s="3">
        <f t="shared" si="0"/>
        <v>1.1613545816733069</v>
      </c>
      <c r="F17" s="2">
        <v>69</v>
      </c>
      <c r="G17" s="2">
        <v>634</v>
      </c>
      <c r="H17" s="3">
        <f t="shared" si="1"/>
        <v>1.2629482071713147</v>
      </c>
      <c r="I17" s="1">
        <v>0</v>
      </c>
      <c r="J17" s="1">
        <v>666</v>
      </c>
      <c r="K17" s="7">
        <f t="shared" si="2"/>
        <v>1.3266932270916334</v>
      </c>
    </row>
    <row r="18" spans="1:11" x14ac:dyDescent="0.3">
      <c r="A18" s="2" t="s">
        <v>25</v>
      </c>
      <c r="B18" s="2">
        <v>21282</v>
      </c>
      <c r="C18" s="2">
        <v>2</v>
      </c>
      <c r="D18" s="2">
        <v>24698</v>
      </c>
      <c r="E18" s="3">
        <f t="shared" si="0"/>
        <v>1.1605112301475424</v>
      </c>
      <c r="F18" s="2">
        <v>84</v>
      </c>
      <c r="G18" s="2">
        <v>26442</v>
      </c>
      <c r="H18" s="3">
        <f t="shared" si="1"/>
        <v>1.2424584155624472</v>
      </c>
      <c r="I18" s="1">
        <v>0</v>
      </c>
      <c r="J18" s="1">
        <v>27210</v>
      </c>
      <c r="K18" s="7">
        <f t="shared" si="2"/>
        <v>1.2785452495066254</v>
      </c>
    </row>
    <row r="19" spans="1:11" x14ac:dyDescent="0.3">
      <c r="A19" s="2" t="s">
        <v>26</v>
      </c>
      <c r="B19" s="2">
        <v>20749</v>
      </c>
      <c r="C19" s="2">
        <v>3</v>
      </c>
      <c r="D19" s="2">
        <v>23660</v>
      </c>
      <c r="E19" s="3">
        <f t="shared" si="0"/>
        <v>1.1402959178755603</v>
      </c>
      <c r="F19" s="2">
        <v>86</v>
      </c>
      <c r="G19" s="2">
        <v>27130</v>
      </c>
      <c r="H19" s="3">
        <f t="shared" si="1"/>
        <v>1.3075328931514771</v>
      </c>
      <c r="I19" s="1">
        <v>0</v>
      </c>
      <c r="J19" s="1">
        <v>27968</v>
      </c>
      <c r="K19" s="7">
        <f t="shared" si="2"/>
        <v>1.3479203817051424</v>
      </c>
    </row>
    <row r="20" spans="1:11" x14ac:dyDescent="0.3">
      <c r="A20" s="2" t="s">
        <v>27</v>
      </c>
      <c r="B20" s="2">
        <v>21294</v>
      </c>
      <c r="C20" s="2">
        <v>3</v>
      </c>
      <c r="D20" s="2">
        <v>24852</v>
      </c>
      <c r="E20" s="3">
        <f t="shared" si="0"/>
        <v>1.1670893209354747</v>
      </c>
      <c r="F20" s="2">
        <v>84</v>
      </c>
      <c r="G20" s="2">
        <v>26002</v>
      </c>
      <c r="H20" s="3">
        <f t="shared" si="1"/>
        <v>1.2210951441720672</v>
      </c>
      <c r="I20" s="1">
        <v>0</v>
      </c>
      <c r="J20" s="1">
        <v>27112</v>
      </c>
      <c r="K20" s="7">
        <f t="shared" si="2"/>
        <v>1.2732225039917349</v>
      </c>
    </row>
    <row r="21" spans="1:11" x14ac:dyDescent="0.3">
      <c r="A21" s="2" t="s">
        <v>32</v>
      </c>
      <c r="B21" s="2">
        <v>7755</v>
      </c>
      <c r="C21" s="2">
        <v>3</v>
      </c>
      <c r="D21" s="2">
        <v>9424</v>
      </c>
      <c r="E21" s="3">
        <f t="shared" si="0"/>
        <v>1.2152159896840748</v>
      </c>
      <c r="F21" s="2">
        <v>84</v>
      </c>
      <c r="G21" s="2">
        <v>10646</v>
      </c>
      <c r="H21" s="3">
        <f t="shared" si="1"/>
        <v>1.3727917472598323</v>
      </c>
      <c r="I21" s="1">
        <v>0</v>
      </c>
      <c r="J21" s="1">
        <v>10796</v>
      </c>
      <c r="K21" s="7">
        <f t="shared" si="2"/>
        <v>1.392134107027724</v>
      </c>
    </row>
    <row r="22" spans="1:11" x14ac:dyDescent="0.3">
      <c r="A22" s="2" t="s">
        <v>16</v>
      </c>
      <c r="B22" s="2">
        <v>629</v>
      </c>
      <c r="C22" s="2">
        <v>4</v>
      </c>
      <c r="D22" s="2">
        <v>746</v>
      </c>
      <c r="E22" s="3">
        <f t="shared" si="0"/>
        <v>1.1860095389507155</v>
      </c>
      <c r="F22" s="2">
        <v>85</v>
      </c>
      <c r="G22" s="2">
        <v>822</v>
      </c>
      <c r="H22" s="3">
        <f t="shared" si="1"/>
        <v>1.3068362480127187</v>
      </c>
      <c r="I22" s="1">
        <v>0</v>
      </c>
      <c r="J22" s="1">
        <v>855</v>
      </c>
      <c r="K22" s="7">
        <f t="shared" si="2"/>
        <v>1.3593004769475359</v>
      </c>
    </row>
    <row r="23" spans="1:11" x14ac:dyDescent="0.3">
      <c r="A23" s="2" t="s">
        <v>28</v>
      </c>
      <c r="B23" s="2">
        <v>14379</v>
      </c>
      <c r="C23" s="2">
        <v>3</v>
      </c>
      <c r="D23" s="2">
        <v>16935</v>
      </c>
      <c r="E23" s="3">
        <f t="shared" si="0"/>
        <v>1.177759232213645</v>
      </c>
      <c r="F23" s="2">
        <v>100</v>
      </c>
      <c r="G23" s="2">
        <v>18901</v>
      </c>
      <c r="H23" s="3">
        <f t="shared" si="1"/>
        <v>1.3144864037832951</v>
      </c>
      <c r="I23" s="1">
        <v>0</v>
      </c>
      <c r="J23" s="1">
        <v>19623</v>
      </c>
      <c r="K23" s="7">
        <f t="shared" si="2"/>
        <v>1.3646985186730649</v>
      </c>
    </row>
    <row r="24" spans="1:11" x14ac:dyDescent="0.3">
      <c r="A24" s="2" t="s">
        <v>21</v>
      </c>
      <c r="B24" s="2">
        <v>1667</v>
      </c>
      <c r="C24" s="2">
        <v>4</v>
      </c>
      <c r="D24" s="2">
        <v>1836</v>
      </c>
      <c r="E24" s="3">
        <f t="shared" si="0"/>
        <v>1.101379724055189</v>
      </c>
      <c r="F24" s="2">
        <v>169</v>
      </c>
      <c r="G24" s="2">
        <v>2101</v>
      </c>
      <c r="H24" s="3">
        <f t="shared" si="1"/>
        <v>1.2603479304139171</v>
      </c>
      <c r="I24" s="1">
        <v>0</v>
      </c>
      <c r="J24" s="1">
        <v>2149</v>
      </c>
      <c r="K24" s="7">
        <f t="shared" si="2"/>
        <v>1.2891421715656868</v>
      </c>
    </row>
    <row r="25" spans="1:11" x14ac:dyDescent="0.3">
      <c r="A25" s="2" t="s">
        <v>14</v>
      </c>
      <c r="B25" s="2">
        <v>6105</v>
      </c>
      <c r="C25" s="2">
        <v>5</v>
      </c>
      <c r="D25" s="2">
        <v>7049</v>
      </c>
      <c r="E25" s="3">
        <f t="shared" si="0"/>
        <v>1.1546273546273547</v>
      </c>
      <c r="F25" s="2">
        <v>234</v>
      </c>
      <c r="G25" s="2">
        <v>7906</v>
      </c>
      <c r="H25" s="3">
        <f t="shared" si="1"/>
        <v>1.2950040950040951</v>
      </c>
      <c r="I25" s="1">
        <v>0</v>
      </c>
      <c r="J25" s="1">
        <v>8124</v>
      </c>
      <c r="K25" s="7">
        <f t="shared" si="2"/>
        <v>1.3307125307125307</v>
      </c>
    </row>
    <row r="26" spans="1:11" x14ac:dyDescent="0.3">
      <c r="A26" s="2" t="s">
        <v>15</v>
      </c>
      <c r="B26" s="2">
        <v>6527</v>
      </c>
      <c r="C26" s="2">
        <v>9</v>
      </c>
      <c r="D26" s="2">
        <v>7213</v>
      </c>
      <c r="E26" s="3">
        <f t="shared" si="0"/>
        <v>1.105101884479853</v>
      </c>
      <c r="F26" s="2">
        <v>416</v>
      </c>
      <c r="G26" s="2">
        <v>8140</v>
      </c>
      <c r="H26" s="3">
        <f t="shared" si="1"/>
        <v>1.24712731729738</v>
      </c>
      <c r="I26" s="1">
        <v>0</v>
      </c>
      <c r="J26" s="1">
        <v>8215</v>
      </c>
      <c r="K26" s="7">
        <f t="shared" si="2"/>
        <v>1.2586180481078597</v>
      </c>
    </row>
    <row r="27" spans="1:11" x14ac:dyDescent="0.3">
      <c r="A27" s="2" t="s">
        <v>23</v>
      </c>
      <c r="B27" s="2">
        <v>533</v>
      </c>
      <c r="C27" s="2">
        <v>13</v>
      </c>
      <c r="D27" s="2">
        <v>547</v>
      </c>
      <c r="E27" s="3">
        <f t="shared" si="0"/>
        <v>1.026266416510319</v>
      </c>
      <c r="F27" s="2">
        <v>1306</v>
      </c>
      <c r="G27" s="2">
        <v>588</v>
      </c>
      <c r="H27" s="3">
        <f t="shared" si="1"/>
        <v>1.1031894934333959</v>
      </c>
      <c r="I27" s="1">
        <v>0</v>
      </c>
      <c r="J27" s="1">
        <v>575</v>
      </c>
      <c r="K27" s="7">
        <f t="shared" si="2"/>
        <v>1.0787992495309568</v>
      </c>
    </row>
    <row r="28" spans="1:11" x14ac:dyDescent="0.3">
      <c r="A28" s="2" t="s">
        <v>34</v>
      </c>
      <c r="B28" s="2">
        <v>3854</v>
      </c>
      <c r="C28" s="2">
        <v>20</v>
      </c>
      <c r="D28" s="2">
        <v>4647</v>
      </c>
      <c r="E28" s="3">
        <f t="shared" si="0"/>
        <v>1.2057602490918526</v>
      </c>
      <c r="F28" s="2">
        <v>1989</v>
      </c>
      <c r="G28" s="2">
        <v>5122</v>
      </c>
      <c r="H28" s="3">
        <f t="shared" si="1"/>
        <v>1.3290088220031135</v>
      </c>
      <c r="I28" s="1">
        <v>0</v>
      </c>
      <c r="J28" s="1">
        <v>5481</v>
      </c>
      <c r="K28" s="7">
        <f t="shared" si="2"/>
        <v>1.4221587960560456</v>
      </c>
    </row>
    <row r="29" spans="1:11" x14ac:dyDescent="0.3">
      <c r="A29" s="2" t="s">
        <v>10</v>
      </c>
      <c r="B29" s="2">
        <v>2579</v>
      </c>
      <c r="C29" s="2">
        <v>31</v>
      </c>
      <c r="D29" s="2">
        <v>2975</v>
      </c>
      <c r="E29" s="3">
        <f t="shared" si="0"/>
        <v>1.1535478867778208</v>
      </c>
      <c r="F29" s="2">
        <v>4514</v>
      </c>
      <c r="G29" s="2">
        <v>3313</v>
      </c>
      <c r="H29" s="3">
        <f t="shared" si="1"/>
        <v>1.2846064366033347</v>
      </c>
      <c r="I29" s="1">
        <v>0</v>
      </c>
      <c r="J29" s="1">
        <v>3565</v>
      </c>
      <c r="K29" s="7">
        <f t="shared" si="2"/>
        <v>1.3823187281892206</v>
      </c>
    </row>
    <row r="30" spans="1:11" x14ac:dyDescent="0.3">
      <c r="A30" s="2" t="s">
        <v>29</v>
      </c>
      <c r="B30" s="2">
        <v>50778</v>
      </c>
      <c r="C30" s="2">
        <v>132</v>
      </c>
      <c r="D30" s="2">
        <v>58950</v>
      </c>
      <c r="E30" s="3">
        <f t="shared" si="0"/>
        <v>1.1609358383551931</v>
      </c>
      <c r="F30" s="2">
        <v>29490</v>
      </c>
      <c r="G30" s="2">
        <v>68397</v>
      </c>
      <c r="H30" s="3">
        <f t="shared" si="1"/>
        <v>1.3469809760132341</v>
      </c>
      <c r="I30" s="1">
        <v>0</v>
      </c>
      <c r="J30" s="1">
        <v>69347</v>
      </c>
      <c r="K30" s="7">
        <f t="shared" si="2"/>
        <v>1.3656898656898657</v>
      </c>
    </row>
    <row r="31" spans="1:11" x14ac:dyDescent="0.3">
      <c r="A31" s="2" t="s">
        <v>30</v>
      </c>
      <c r="B31" s="2">
        <v>259045</v>
      </c>
      <c r="C31" s="2">
        <v>1196</v>
      </c>
      <c r="D31" s="2">
        <v>313745</v>
      </c>
      <c r="E31" s="3">
        <f t="shared" si="0"/>
        <v>1.2111602231272558</v>
      </c>
      <c r="F31" s="2">
        <v>502354</v>
      </c>
      <c r="G31" s="2">
        <v>347246</v>
      </c>
      <c r="H31" s="3">
        <f t="shared" si="1"/>
        <v>1.3404852438765464</v>
      </c>
      <c r="I31" s="1">
        <v>3</v>
      </c>
      <c r="J31" s="1">
        <v>345675</v>
      </c>
      <c r="K31" s="7">
        <f t="shared" si="2"/>
        <v>1.3344206605030013</v>
      </c>
    </row>
    <row r="32" spans="1:11" x14ac:dyDescent="0.3">
      <c r="A32" s="5" t="s">
        <v>45</v>
      </c>
      <c r="B32" s="2" t="s">
        <v>5</v>
      </c>
      <c r="C32" s="6">
        <f>AVERAGE(C3:C31)</f>
        <v>49.448275862068968</v>
      </c>
      <c r="D32" s="5"/>
      <c r="E32" s="5"/>
      <c r="F32" s="6">
        <f>AVERAGE(F3:F31)</f>
        <v>18661.03448275862</v>
      </c>
      <c r="G32" s="5"/>
      <c r="H32" s="5"/>
      <c r="I32" s="6">
        <f>AVERAGE(I3:I31)</f>
        <v>0.10344827586206896</v>
      </c>
      <c r="J32" s="5"/>
      <c r="K32" s="5"/>
    </row>
    <row r="33" spans="1:11" x14ac:dyDescent="0.3">
      <c r="A33" s="5"/>
      <c r="B33" s="2" t="s">
        <v>46</v>
      </c>
      <c r="C33" s="6">
        <f>AVERAGE(E4:E32)</f>
        <v>1.1306985844562039</v>
      </c>
      <c r="D33" s="5"/>
      <c r="E33" s="5"/>
      <c r="F33" s="6">
        <f>AVERAGE(H4:H32)</f>
        <v>1.2298719481643434</v>
      </c>
      <c r="G33" s="5"/>
      <c r="H33" s="5"/>
      <c r="I33" s="6">
        <f>AVERAGE(K4:K32)</f>
        <v>1.283560426015834</v>
      </c>
      <c r="J33" s="5"/>
      <c r="K33" s="5"/>
    </row>
  </sheetData>
  <sortState xmlns:xlrd2="http://schemas.microsoft.com/office/spreadsheetml/2017/richdata2" ref="A3:H31">
    <sortCondition ref="F3:F31"/>
  </sortState>
  <mergeCells count="12">
    <mergeCell ref="I1:K1"/>
    <mergeCell ref="I32:K32"/>
    <mergeCell ref="I33:K33"/>
    <mergeCell ref="C1:E1"/>
    <mergeCell ref="B1:B2"/>
    <mergeCell ref="F1:H1"/>
    <mergeCell ref="A1:A2"/>
    <mergeCell ref="C32:E32"/>
    <mergeCell ref="F32:H32"/>
    <mergeCell ref="A32:A33"/>
    <mergeCell ref="C33:E33"/>
    <mergeCell ref="F33:H3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EXACT</vt:lpstr>
      <vt:lpstr>APPRO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yingshuai xu</cp:lastModifiedBy>
  <dcterms:created xsi:type="dcterms:W3CDTF">2015-06-05T18:19:34Z</dcterms:created>
  <dcterms:modified xsi:type="dcterms:W3CDTF">2025-06-12T09:26:43Z</dcterms:modified>
</cp:coreProperties>
</file>