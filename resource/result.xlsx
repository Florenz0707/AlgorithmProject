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_Files\_Lessons\ALGORITHM\Project\resource\"/>
    </mc:Choice>
  </mc:AlternateContent>
  <xr:revisionPtr revIDLastSave="0" documentId="13_ncr:1_{C20CFAFF-D0D8-4194-8206-2761D7ED209A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EXACT" sheetId="9" r:id="rId1"/>
    <sheet name="APPRO" sheetId="10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2" i="10" l="1"/>
  <c r="F33" i="10"/>
  <c r="F32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" i="10"/>
  <c r="E18" i="10"/>
  <c r="K18" i="10"/>
  <c r="E19" i="10"/>
  <c r="K19" i="10"/>
  <c r="E20" i="10"/>
  <c r="K20" i="10"/>
  <c r="E21" i="10"/>
  <c r="K21" i="10"/>
  <c r="E22" i="10"/>
  <c r="K22" i="10"/>
  <c r="E23" i="10"/>
  <c r="K23" i="10"/>
  <c r="E24" i="10"/>
  <c r="K24" i="10"/>
  <c r="E25" i="10"/>
  <c r="K25" i="10"/>
  <c r="E26" i="10"/>
  <c r="K26" i="10"/>
  <c r="E27" i="10"/>
  <c r="K27" i="10"/>
  <c r="E28" i="10"/>
  <c r="K28" i="10"/>
  <c r="V16" i="10"/>
  <c r="S16" i="10"/>
  <c r="P16" i="10"/>
  <c r="X15" i="10"/>
  <c r="U15" i="10"/>
  <c r="R15" i="10"/>
  <c r="X14" i="10"/>
  <c r="U14" i="10"/>
  <c r="R14" i="10"/>
  <c r="X13" i="10"/>
  <c r="U13" i="10"/>
  <c r="R13" i="10"/>
  <c r="X12" i="10"/>
  <c r="U12" i="10"/>
  <c r="R12" i="10"/>
  <c r="X11" i="10"/>
  <c r="U11" i="10"/>
  <c r="R11" i="10"/>
  <c r="X10" i="10"/>
  <c r="U10" i="10"/>
  <c r="R10" i="10"/>
  <c r="X9" i="10"/>
  <c r="U9" i="10"/>
  <c r="R9" i="10"/>
  <c r="K31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29" i="10"/>
  <c r="K30" i="10"/>
  <c r="K3" i="10"/>
  <c r="E30" i="10"/>
  <c r="C32" i="10"/>
  <c r="E8" i="10"/>
  <c r="E4" i="10"/>
  <c r="E29" i="10"/>
  <c r="E11" i="10"/>
  <c r="E9" i="10"/>
  <c r="E10" i="10"/>
  <c r="E13" i="10"/>
  <c r="E12" i="10"/>
  <c r="E15" i="10"/>
  <c r="E3" i="10"/>
  <c r="E6" i="10"/>
  <c r="E17" i="10"/>
  <c r="E31" i="10"/>
  <c r="E16" i="10"/>
  <c r="E14" i="10"/>
  <c r="E5" i="10"/>
  <c r="E7" i="10"/>
  <c r="I33" i="10" l="1"/>
  <c r="P17" i="10"/>
  <c r="S17" i="10"/>
  <c r="V17" i="10"/>
  <c r="C33" i="10"/>
</calcChain>
</file>

<file path=xl/sharedStrings.xml><?xml version="1.0" encoding="utf-8"?>
<sst xmlns="http://schemas.openxmlformats.org/spreadsheetml/2006/main" count="95" uniqueCount="51">
  <si>
    <t>att48</t>
    <phoneticPr fontId="1" type="noConversion"/>
  </si>
  <si>
    <t>p15</t>
    <phoneticPr fontId="1" type="noConversion"/>
  </si>
  <si>
    <t>gr17</t>
    <phoneticPr fontId="1" type="noConversion"/>
  </si>
  <si>
    <t>five5</t>
    <phoneticPr fontId="1" type="noConversion"/>
  </si>
  <si>
    <t>MIN_COST</t>
    <phoneticPr fontId="1" type="noConversion"/>
  </si>
  <si>
    <t>Time</t>
    <phoneticPr fontId="1" type="noConversion"/>
  </si>
  <si>
    <t>rec_cnt</t>
    <phoneticPr fontId="1" type="noConversion"/>
  </si>
  <si>
    <t>greedy</t>
    <phoneticPr fontId="1" type="noConversion"/>
  </si>
  <si>
    <t>min_cost</t>
    <phoneticPr fontId="1" type="noConversion"/>
  </si>
  <si>
    <t>ratio</t>
    <phoneticPr fontId="1" type="noConversion"/>
  </si>
  <si>
    <t>a280</t>
    <phoneticPr fontId="1" type="noConversion"/>
  </si>
  <si>
    <t>bayg29</t>
    <phoneticPr fontId="1" type="noConversion"/>
  </si>
  <si>
    <t>bays29</t>
    <phoneticPr fontId="1" type="noConversion"/>
  </si>
  <si>
    <t>berlin52</t>
    <phoneticPr fontId="1" type="noConversion"/>
  </si>
  <si>
    <t>ch130</t>
    <phoneticPr fontId="1" type="noConversion"/>
  </si>
  <si>
    <t>ch150</t>
    <phoneticPr fontId="1" type="noConversion"/>
  </si>
  <si>
    <t>eil101</t>
    <phoneticPr fontId="1" type="noConversion"/>
  </si>
  <si>
    <t>eil51</t>
    <phoneticPr fontId="1" type="noConversion"/>
  </si>
  <si>
    <t>eil76</t>
    <phoneticPr fontId="1" type="noConversion"/>
  </si>
  <si>
    <t>five5</t>
    <phoneticPr fontId="1" type="noConversion"/>
  </si>
  <si>
    <t>fri26</t>
    <phoneticPr fontId="1" type="noConversion"/>
  </si>
  <si>
    <t>gr120</t>
    <phoneticPr fontId="1" type="noConversion"/>
  </si>
  <si>
    <t>gr17</t>
    <phoneticPr fontId="1" type="noConversion"/>
  </si>
  <si>
    <t>gr202</t>
    <phoneticPr fontId="1" type="noConversion"/>
  </si>
  <si>
    <t>gr96</t>
    <phoneticPr fontId="1" type="noConversion"/>
  </si>
  <si>
    <t>kroA100</t>
    <phoneticPr fontId="1" type="noConversion"/>
  </si>
  <si>
    <t>kroC100</t>
    <phoneticPr fontId="1" type="noConversion"/>
  </si>
  <si>
    <t>kroD100</t>
    <phoneticPr fontId="1" type="noConversion"/>
  </si>
  <si>
    <t>lin105</t>
    <phoneticPr fontId="1" type="noConversion"/>
  </si>
  <si>
    <t>pcb442</t>
    <phoneticPr fontId="1" type="noConversion"/>
  </si>
  <si>
    <t>pr1002</t>
    <phoneticPr fontId="1" type="noConversion"/>
  </si>
  <si>
    <t>pr76</t>
    <phoneticPr fontId="1" type="noConversion"/>
  </si>
  <si>
    <t>rd100</t>
    <phoneticPr fontId="1" type="noConversion"/>
  </si>
  <si>
    <t>st70</t>
    <phoneticPr fontId="1" type="noConversion"/>
  </si>
  <si>
    <t>tsp225</t>
    <phoneticPr fontId="1" type="noConversion"/>
  </si>
  <si>
    <t>ulysses16</t>
    <phoneticPr fontId="1" type="noConversion"/>
  </si>
  <si>
    <t>ulysses22</t>
    <phoneticPr fontId="1" type="noConversion"/>
  </si>
  <si>
    <t>dfs-0</t>
    <phoneticPr fontId="1" type="noConversion"/>
  </si>
  <si>
    <t>dfs-1</t>
    <phoneticPr fontId="1" type="noConversion"/>
  </si>
  <si>
    <t>dfs-2</t>
  </si>
  <si>
    <t>bfs-0</t>
  </si>
  <si>
    <t>dp-0</t>
  </si>
  <si>
    <t>Time</t>
    <phoneticPr fontId="1" type="noConversion"/>
  </si>
  <si>
    <t>ulyssses16</t>
    <phoneticPr fontId="1" type="noConversion"/>
  </si>
  <si>
    <t>DATASET</t>
    <phoneticPr fontId="1" type="noConversion"/>
  </si>
  <si>
    <t>Average</t>
    <phoneticPr fontId="1" type="noConversion"/>
  </si>
  <si>
    <t>Ratio</t>
    <phoneticPr fontId="1" type="noConversion"/>
  </si>
  <si>
    <t>MST-0</t>
    <phoneticPr fontId="1" type="noConversion"/>
  </si>
  <si>
    <t>MST-1</t>
    <phoneticPr fontId="1" type="noConversion"/>
  </si>
  <si>
    <t>min_cost</t>
  </si>
  <si>
    <t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</si>
</sst>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近似比随数据规模变化图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9.1206036745406824E-2"/>
          <c:y val="0.18039370078740158"/>
          <c:w val="0.88475306211723537"/>
          <c:h val="0.60613954505686785"/>
        </c:manualLayout>
      </c:layout>
      <c:lineChart>
        <c:grouping val="standard"/>
        <c:varyColors val="0"/>
        <c:ser>
          <c:idx val="0"/>
          <c:order val="0"/>
          <c:tx>
            <c:strRef>
              <c:f>APPRO!$C$1</c:f>
              <c:strCache>
                <c:ptCount val="1"/>
                <c:pt idx="0">
                  <c:v>greedy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APPRO!$A$3:$A$31</c:f>
              <c:strCache>
                <c:ptCount val="29"/>
                <c:pt idx="0">
                  <c:v>five5</c:v>
                </c:pt>
                <c:pt idx="1">
                  <c:v>p15</c:v>
                </c:pt>
                <c:pt idx="2">
                  <c:v>ulysses16</c:v>
                </c:pt>
                <c:pt idx="3">
                  <c:v>gr17</c:v>
                </c:pt>
                <c:pt idx="4">
                  <c:v>ulysses22</c:v>
                </c:pt>
                <c:pt idx="5">
                  <c:v>fri26</c:v>
                </c:pt>
                <c:pt idx="6">
                  <c:v>bayg29</c:v>
                </c:pt>
                <c:pt idx="7">
                  <c:v>bays29</c:v>
                </c:pt>
                <c:pt idx="8">
                  <c:v>att48</c:v>
                </c:pt>
                <c:pt idx="9">
                  <c:v>eil51</c:v>
                </c:pt>
                <c:pt idx="10">
                  <c:v>berlin52</c:v>
                </c:pt>
                <c:pt idx="11">
                  <c:v>st70</c:v>
                </c:pt>
                <c:pt idx="12">
                  <c:v>eil76</c:v>
                </c:pt>
                <c:pt idx="13">
                  <c:v>pr76</c:v>
                </c:pt>
                <c:pt idx="14">
                  <c:v>gr96</c:v>
                </c:pt>
                <c:pt idx="15">
                  <c:v>kroA100</c:v>
                </c:pt>
                <c:pt idx="16">
                  <c:v>kroC100</c:v>
                </c:pt>
                <c:pt idx="17">
                  <c:v>kroD100</c:v>
                </c:pt>
                <c:pt idx="18">
                  <c:v>rd100</c:v>
                </c:pt>
                <c:pt idx="19">
                  <c:v>eil101</c:v>
                </c:pt>
                <c:pt idx="20">
                  <c:v>lin105</c:v>
                </c:pt>
                <c:pt idx="21">
                  <c:v>gr120</c:v>
                </c:pt>
                <c:pt idx="22">
                  <c:v>ch130</c:v>
                </c:pt>
                <c:pt idx="23">
                  <c:v>ch150</c:v>
                </c:pt>
                <c:pt idx="24">
                  <c:v>gr202</c:v>
                </c:pt>
                <c:pt idx="25">
                  <c:v>tsp225</c:v>
                </c:pt>
                <c:pt idx="26">
                  <c:v>a280</c:v>
                </c:pt>
                <c:pt idx="27">
                  <c:v>pcb442</c:v>
                </c:pt>
                <c:pt idx="28">
                  <c:v>pr1002</c:v>
                </c:pt>
              </c:strCache>
            </c:strRef>
          </c:cat>
          <c:val>
            <c:numRef>
              <c:f>APPRO!$E$3:$E$31</c:f>
              <c:numCache>
                <c:formatCode>0.00_ </c:formatCode>
                <c:ptCount val="29"/>
                <c:pt idx="0">
                  <c:v>1.1052631578947369</c:v>
                </c:pt>
                <c:pt idx="1">
                  <c:v>1</c:v>
                </c:pt>
                <c:pt idx="2">
                  <c:v>1.0422535211267605</c:v>
                </c:pt>
                <c:pt idx="3">
                  <c:v>1.0446043165467627</c:v>
                </c:pt>
                <c:pt idx="4">
                  <c:v>1.178082191780822</c:v>
                </c:pt>
                <c:pt idx="5">
                  <c:v>1.0298826040554963</c:v>
                </c:pt>
                <c:pt idx="6">
                  <c:v>1.0979830265623278</c:v>
                </c:pt>
                <c:pt idx="7">
                  <c:v>1.0723358449946179</c:v>
                </c:pt>
                <c:pt idx="8">
                  <c:v>1.1314023207946782</c:v>
                </c:pt>
                <c:pt idx="9">
                  <c:v>1.1314553990610328</c:v>
                </c:pt>
                <c:pt idx="10">
                  <c:v>1.0847255369928401</c:v>
                </c:pt>
                <c:pt idx="11">
                  <c:v>1.1792592592592592</c:v>
                </c:pt>
                <c:pt idx="12">
                  <c:v>1.1301115241635689</c:v>
                </c:pt>
                <c:pt idx="13">
                  <c:v>1.2104494309303895</c:v>
                </c:pt>
                <c:pt idx="14">
                  <c:v>1.1613545816733069</c:v>
                </c:pt>
                <c:pt idx="15">
                  <c:v>1.1605112301475424</c:v>
                </c:pt>
                <c:pt idx="16">
                  <c:v>1.1402959178755603</c:v>
                </c:pt>
                <c:pt idx="17">
                  <c:v>1.1670893209354747</c:v>
                </c:pt>
                <c:pt idx="18">
                  <c:v>1.2152159896840748</c:v>
                </c:pt>
                <c:pt idx="19">
                  <c:v>1.1860095389507155</c:v>
                </c:pt>
                <c:pt idx="20">
                  <c:v>1.177759232213645</c:v>
                </c:pt>
                <c:pt idx="21">
                  <c:v>1.101379724055189</c:v>
                </c:pt>
                <c:pt idx="22">
                  <c:v>1.1546273546273547</c:v>
                </c:pt>
                <c:pt idx="23">
                  <c:v>1.105101884479853</c:v>
                </c:pt>
                <c:pt idx="24">
                  <c:v>1.026266416510319</c:v>
                </c:pt>
                <c:pt idx="25">
                  <c:v>1.2057602490918526</c:v>
                </c:pt>
                <c:pt idx="26">
                  <c:v>1.1535478867778208</c:v>
                </c:pt>
                <c:pt idx="27">
                  <c:v>1.1609358383551931</c:v>
                </c:pt>
                <c:pt idx="28">
                  <c:v>1.2111602231272558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F0-44D4-B3C0-27BAF885836E}"/>
            </c:ext>
          </c:extLst>
        </c:ser>
        <c:ser>
          <c:idx val="1"/>
          <c:order val="1"/>
          <c:tx>
            <c:strRef>
              <c:f>APPRO!$F$1</c:f>
              <c:strCache>
                <c:ptCount val="1"/>
                <c:pt idx="0">
                  <c:v>MST-0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APPRO!$A$3:$A$31</c:f>
              <c:strCache>
                <c:ptCount val="29"/>
                <c:pt idx="0">
                  <c:v>five5</c:v>
                </c:pt>
                <c:pt idx="1">
                  <c:v>p15</c:v>
                </c:pt>
                <c:pt idx="2">
                  <c:v>ulysses16</c:v>
                </c:pt>
                <c:pt idx="3">
                  <c:v>gr17</c:v>
                </c:pt>
                <c:pt idx="4">
                  <c:v>ulysses22</c:v>
                </c:pt>
                <c:pt idx="5">
                  <c:v>fri26</c:v>
                </c:pt>
                <c:pt idx="6">
                  <c:v>bayg29</c:v>
                </c:pt>
                <c:pt idx="7">
                  <c:v>bays29</c:v>
                </c:pt>
                <c:pt idx="8">
                  <c:v>att48</c:v>
                </c:pt>
                <c:pt idx="9">
                  <c:v>eil51</c:v>
                </c:pt>
                <c:pt idx="10">
                  <c:v>berlin52</c:v>
                </c:pt>
                <c:pt idx="11">
                  <c:v>st70</c:v>
                </c:pt>
                <c:pt idx="12">
                  <c:v>eil76</c:v>
                </c:pt>
                <c:pt idx="13">
                  <c:v>pr76</c:v>
                </c:pt>
                <c:pt idx="14">
                  <c:v>gr96</c:v>
                </c:pt>
                <c:pt idx="15">
                  <c:v>kroA100</c:v>
                </c:pt>
                <c:pt idx="16">
                  <c:v>kroC100</c:v>
                </c:pt>
                <c:pt idx="17">
                  <c:v>kroD100</c:v>
                </c:pt>
                <c:pt idx="18">
                  <c:v>rd100</c:v>
                </c:pt>
                <c:pt idx="19">
                  <c:v>eil101</c:v>
                </c:pt>
                <c:pt idx="20">
                  <c:v>lin105</c:v>
                </c:pt>
                <c:pt idx="21">
                  <c:v>gr120</c:v>
                </c:pt>
                <c:pt idx="22">
                  <c:v>ch130</c:v>
                </c:pt>
                <c:pt idx="23">
                  <c:v>ch150</c:v>
                </c:pt>
                <c:pt idx="24">
                  <c:v>gr202</c:v>
                </c:pt>
                <c:pt idx="25">
                  <c:v>tsp225</c:v>
                </c:pt>
                <c:pt idx="26">
                  <c:v>a280</c:v>
                </c:pt>
                <c:pt idx="27">
                  <c:v>pcb442</c:v>
                </c:pt>
                <c:pt idx="28">
                  <c:v>pr1002</c:v>
                </c:pt>
              </c:strCache>
            </c:strRef>
          </c:cat>
          <c:val>
            <c:numRef>
              <c:f>APPRO!$H$3:$H$31</c:f>
              <c:numCache>
                <c:formatCode>0.00_ </c:formatCode>
                <c:ptCount val="29"/>
                <c:pt idx="0">
                  <c:v>1.1052631578947369</c:v>
                </c:pt>
                <c:pt idx="1">
                  <c:v>1.0274914089347078</c:v>
                </c:pt>
                <c:pt idx="2">
                  <c:v>1.0140845070422535</c:v>
                </c:pt>
                <c:pt idx="3">
                  <c:v>1.0599520383693046</c:v>
                </c:pt>
                <c:pt idx="4">
                  <c:v>1.0273972602739727</c:v>
                </c:pt>
                <c:pt idx="5">
                  <c:v>1.176093916755603</c:v>
                </c:pt>
                <c:pt idx="6">
                  <c:v>1.1397553179764135</c:v>
                </c:pt>
                <c:pt idx="7">
                  <c:v>1.1131324004305705</c:v>
                </c:pt>
                <c:pt idx="8">
                  <c:v>1.2287086477940519</c:v>
                </c:pt>
                <c:pt idx="9">
                  <c:v>1.3051643192488263</c:v>
                </c:pt>
                <c:pt idx="10">
                  <c:v>1.2662423760275789</c:v>
                </c:pt>
                <c:pt idx="11">
                  <c:v>1.277037037037037</c:v>
                </c:pt>
                <c:pt idx="12">
                  <c:v>1.2527881040892193</c:v>
                </c:pt>
                <c:pt idx="13">
                  <c:v>1.3136678408639133</c:v>
                </c:pt>
                <c:pt idx="14">
                  <c:v>1.2629482071713147</c:v>
                </c:pt>
                <c:pt idx="15">
                  <c:v>1.2424584155624472</c:v>
                </c:pt>
                <c:pt idx="16">
                  <c:v>1.3075328931514771</c:v>
                </c:pt>
                <c:pt idx="17">
                  <c:v>1.2210951441720672</c:v>
                </c:pt>
                <c:pt idx="18">
                  <c:v>1.3727917472598323</c:v>
                </c:pt>
                <c:pt idx="19">
                  <c:v>1.3068362480127187</c:v>
                </c:pt>
                <c:pt idx="20">
                  <c:v>1.3144864037832951</c:v>
                </c:pt>
                <c:pt idx="21">
                  <c:v>1.2603479304139171</c:v>
                </c:pt>
                <c:pt idx="22">
                  <c:v>1.2950040950040951</c:v>
                </c:pt>
                <c:pt idx="23">
                  <c:v>1.24712731729738</c:v>
                </c:pt>
                <c:pt idx="24">
                  <c:v>1.1031894934333959</c:v>
                </c:pt>
                <c:pt idx="25">
                  <c:v>1.3290088220031135</c:v>
                </c:pt>
                <c:pt idx="26">
                  <c:v>1.2846064366033347</c:v>
                </c:pt>
                <c:pt idx="27">
                  <c:v>1.3469809760132341</c:v>
                </c:pt>
                <c:pt idx="28">
                  <c:v>1.3404852438765464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F0-44D4-B3C0-27BAF885836E}"/>
            </c:ext>
          </c:extLst>
        </c:ser>
        <c:ser>
          <c:idx val="2"/>
          <c:order val="2"/>
          <c:tx>
            <c:strRef>
              <c:f>APPRO!$I$1</c:f>
              <c:strCache>
                <c:ptCount val="1"/>
                <c:pt idx="0">
                  <c:v>MST-1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APPRO!$A$3:$A$31</c:f>
              <c:strCache>
                <c:ptCount val="29"/>
                <c:pt idx="0">
                  <c:v>five5</c:v>
                </c:pt>
                <c:pt idx="1">
                  <c:v>p15</c:v>
                </c:pt>
                <c:pt idx="2">
                  <c:v>ulysses16</c:v>
                </c:pt>
                <c:pt idx="3">
                  <c:v>gr17</c:v>
                </c:pt>
                <c:pt idx="4">
                  <c:v>ulysses22</c:v>
                </c:pt>
                <c:pt idx="5">
                  <c:v>fri26</c:v>
                </c:pt>
                <c:pt idx="6">
                  <c:v>bayg29</c:v>
                </c:pt>
                <c:pt idx="7">
                  <c:v>bays29</c:v>
                </c:pt>
                <c:pt idx="8">
                  <c:v>att48</c:v>
                </c:pt>
                <c:pt idx="9">
                  <c:v>eil51</c:v>
                </c:pt>
                <c:pt idx="10">
                  <c:v>berlin52</c:v>
                </c:pt>
                <c:pt idx="11">
                  <c:v>st70</c:v>
                </c:pt>
                <c:pt idx="12">
                  <c:v>eil76</c:v>
                </c:pt>
                <c:pt idx="13">
                  <c:v>pr76</c:v>
                </c:pt>
                <c:pt idx="14">
                  <c:v>gr96</c:v>
                </c:pt>
                <c:pt idx="15">
                  <c:v>kroA100</c:v>
                </c:pt>
                <c:pt idx="16">
                  <c:v>kroC100</c:v>
                </c:pt>
                <c:pt idx="17">
                  <c:v>kroD100</c:v>
                </c:pt>
                <c:pt idx="18">
                  <c:v>rd100</c:v>
                </c:pt>
                <c:pt idx="19">
                  <c:v>eil101</c:v>
                </c:pt>
                <c:pt idx="20">
                  <c:v>lin105</c:v>
                </c:pt>
                <c:pt idx="21">
                  <c:v>gr120</c:v>
                </c:pt>
                <c:pt idx="22">
                  <c:v>ch130</c:v>
                </c:pt>
                <c:pt idx="23">
                  <c:v>ch150</c:v>
                </c:pt>
                <c:pt idx="24">
                  <c:v>gr202</c:v>
                </c:pt>
                <c:pt idx="25">
                  <c:v>tsp225</c:v>
                </c:pt>
                <c:pt idx="26">
                  <c:v>a280</c:v>
                </c:pt>
                <c:pt idx="27">
                  <c:v>pcb442</c:v>
                </c:pt>
                <c:pt idx="28">
                  <c:v>pr1002</c:v>
                </c:pt>
              </c:strCache>
            </c:strRef>
          </c:cat>
          <c:val>
            <c:numRef>
              <c:f>APPRO!$K$3:$K$31</c:f>
              <c:numCache>
                <c:formatCode>0.00_ </c:formatCode>
                <c:ptCount val="29"/>
                <c:pt idx="0">
                  <c:v>1.2105263157894737</c:v>
                </c:pt>
                <c:pt idx="1">
                  <c:v>1.2577319587628866</c:v>
                </c:pt>
                <c:pt idx="2">
                  <c:v>1.1126760563380282</c:v>
                </c:pt>
                <c:pt idx="3">
                  <c:v>1.1280575539568345</c:v>
                </c:pt>
                <c:pt idx="4">
                  <c:v>1.1369863013698631</c:v>
                </c:pt>
                <c:pt idx="5">
                  <c:v>1.1867662753468518</c:v>
                </c:pt>
                <c:pt idx="6">
                  <c:v>1.3018847128843822</c:v>
                </c:pt>
                <c:pt idx="7">
                  <c:v>1.2714747039827772</c:v>
                </c:pt>
                <c:pt idx="8">
                  <c:v>1.31175610774692</c:v>
                </c:pt>
                <c:pt idx="9">
                  <c:v>1.3708920187793427</c:v>
                </c:pt>
                <c:pt idx="10">
                  <c:v>1.3410236011667993</c:v>
                </c:pt>
                <c:pt idx="11">
                  <c:v>1.3214814814814815</c:v>
                </c:pt>
                <c:pt idx="12">
                  <c:v>1.2936802973977695</c:v>
                </c:pt>
                <c:pt idx="13">
                  <c:v>1.3437254412485322</c:v>
                </c:pt>
                <c:pt idx="14">
                  <c:v>1.2908366533864541</c:v>
                </c:pt>
                <c:pt idx="15">
                  <c:v>1.2785452495066254</c:v>
                </c:pt>
                <c:pt idx="16">
                  <c:v>1.3479203817051424</c:v>
                </c:pt>
                <c:pt idx="17">
                  <c:v>1.2732225039917349</c:v>
                </c:pt>
                <c:pt idx="18">
                  <c:v>1.3923920051579626</c:v>
                </c:pt>
                <c:pt idx="19">
                  <c:v>1.3275039745627981</c:v>
                </c:pt>
                <c:pt idx="20">
                  <c:v>1.3557966478892829</c:v>
                </c:pt>
                <c:pt idx="21">
                  <c:v>1.2957408518296341</c:v>
                </c:pt>
                <c:pt idx="22">
                  <c:v>1.3307125307125307</c:v>
                </c:pt>
                <c:pt idx="23">
                  <c:v>1.2483529952504979</c:v>
                </c:pt>
                <c:pt idx="24">
                  <c:v>1.1219512195121952</c:v>
                </c:pt>
                <c:pt idx="25">
                  <c:v>1.3604047742605085</c:v>
                </c:pt>
                <c:pt idx="26">
                  <c:v>1.3881349360217139</c:v>
                </c:pt>
                <c:pt idx="27">
                  <c:v>1.3632478632478633</c:v>
                </c:pt>
                <c:pt idx="28">
                  <c:v>1.3461329112702427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F0-44D4-B3C0-27BAF88583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5659376"/>
        <c:axId val="2135657456"/>
      </c:lineChart>
      <c:catAx>
        <c:axId val="213565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35657456"/>
        <c:crosses val="autoZero"/>
        <c:auto val="1"/>
        <c:lblAlgn val="ctr"/>
        <c:lblOffset val="100"/>
        <c:noMultiLvlLbl val="0"/>
      </c:catAx>
      <c:valAx>
        <c:axId val="2135657456"/>
        <c:scaling>
          <c:orientation val="minMax"/>
          <c:max val="1.4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35659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7900000000000003"/>
          <c:y val="0.12347149314669"/>
          <c:w val="0.44600000000000001"/>
          <c:h val="7.69692330125401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311150</xdr:colOff>
      <xdr:row>18</xdr:row>
      <xdr:rowOff>0</xdr:rowOff>
    </xdr:from>
    <xdr:to>
      <xdr:col>19</xdr:col>
      <xdr:colOff>260350</xdr:colOff>
      <xdr:row>33</xdr:row>
      <xdr:rowOff>76200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8AAD7746-EAC6-5CDE-CFA5-97FBE866E7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5032F-7D46-42A8-94FF-8D70120A2E4C}">
  <dimension ref="A1:J6"/>
  <sheetViews>
    <sheetView workbookViewId="0">
      <selection activeCell="G11" sqref="G11"/>
    </sheetView>
  </sheetViews>
  <sheetFormatPr defaultRowHeight="14" x14ac:dyDescent="0.3"/>
  <cols>
    <col min="1" max="1" width="8.6640625" style="1"/>
    <col min="2" max="2" width="12" style="1" customWidth="1"/>
    <col min="3" max="3" width="8.6640625" style="1" customWidth="1"/>
    <col min="4" max="4" width="8.6640625" style="1"/>
    <col min="5" max="5" width="12.33203125" style="1" bestFit="1" customWidth="1"/>
    <col min="6" max="6" width="8.6640625" style="1"/>
    <col min="7" max="7" width="12.75" style="1" customWidth="1"/>
    <col min="8" max="8" width="8.6640625" style="1"/>
    <col min="9" max="9" width="13.58203125" style="1" customWidth="1"/>
    <col min="10" max="10" width="11.4140625" style="1" customWidth="1"/>
    <col min="11" max="11" width="8.6640625" style="1"/>
    <col min="12" max="12" width="10.9140625" style="1" customWidth="1"/>
    <col min="13" max="16384" width="8.6640625" style="1"/>
  </cols>
  <sheetData>
    <row r="1" spans="1:10" x14ac:dyDescent="0.3">
      <c r="A1" s="5" t="s">
        <v>44</v>
      </c>
      <c r="B1" s="5" t="s">
        <v>4</v>
      </c>
      <c r="C1" s="2" t="s">
        <v>41</v>
      </c>
      <c r="D1" s="5" t="s">
        <v>37</v>
      </c>
      <c r="E1" s="5"/>
      <c r="F1" s="5" t="s">
        <v>38</v>
      </c>
      <c r="G1" s="5"/>
      <c r="H1" s="5" t="s">
        <v>39</v>
      </c>
      <c r="I1" s="5"/>
      <c r="J1" s="2" t="s">
        <v>40</v>
      </c>
    </row>
    <row r="2" spans="1:10" x14ac:dyDescent="0.3">
      <c r="A2" s="5"/>
      <c r="B2" s="5"/>
      <c r="C2" s="2" t="s">
        <v>42</v>
      </c>
      <c r="D2" s="2" t="s">
        <v>5</v>
      </c>
      <c r="E2" s="2" t="s">
        <v>6</v>
      </c>
      <c r="F2" s="2" t="s">
        <v>5</v>
      </c>
      <c r="G2" s="2" t="s">
        <v>6</v>
      </c>
      <c r="H2" s="2" t="s">
        <v>5</v>
      </c>
      <c r="I2" s="2" t="s">
        <v>6</v>
      </c>
      <c r="J2" s="2" t="s">
        <v>42</v>
      </c>
    </row>
    <row r="3" spans="1:10" x14ac:dyDescent="0.3">
      <c r="A3" s="2" t="s">
        <v>3</v>
      </c>
      <c r="B3" s="4">
        <v>19</v>
      </c>
      <c r="C3" s="2">
        <v>0</v>
      </c>
      <c r="D3" s="1">
        <v>0</v>
      </c>
      <c r="E3" s="1">
        <v>62</v>
      </c>
      <c r="F3" s="4">
        <v>0</v>
      </c>
      <c r="G3" s="4">
        <v>31</v>
      </c>
      <c r="H3" s="4">
        <v>0</v>
      </c>
      <c r="I3" s="4">
        <v>62</v>
      </c>
      <c r="J3" s="4">
        <v>0.33</v>
      </c>
    </row>
    <row r="4" spans="1:10" x14ac:dyDescent="0.3">
      <c r="A4" s="2" t="s">
        <v>1</v>
      </c>
      <c r="B4" s="2">
        <v>291</v>
      </c>
      <c r="C4" s="2">
        <v>16</v>
      </c>
      <c r="D4" s="4">
        <v>8467.33</v>
      </c>
      <c r="E4" s="4">
        <v>364724160</v>
      </c>
      <c r="F4" s="4">
        <v>34</v>
      </c>
      <c r="G4" s="4">
        <v>1613542</v>
      </c>
      <c r="H4" s="4">
        <v>31786.33</v>
      </c>
      <c r="I4" s="4">
        <v>207713158</v>
      </c>
      <c r="J4" s="2"/>
    </row>
    <row r="5" spans="1:10" x14ac:dyDescent="0.3">
      <c r="A5" s="4" t="s">
        <v>43</v>
      </c>
      <c r="B5" s="2">
        <v>71</v>
      </c>
      <c r="C5" s="2">
        <v>33</v>
      </c>
      <c r="D5" s="2"/>
      <c r="E5" s="2"/>
      <c r="F5" s="2">
        <v>302456</v>
      </c>
      <c r="G5" s="2">
        <v>15887259562</v>
      </c>
      <c r="H5" s="2"/>
      <c r="I5" s="2"/>
      <c r="J5" s="2"/>
    </row>
    <row r="6" spans="1:10" x14ac:dyDescent="0.3">
      <c r="A6" s="2" t="s">
        <v>2</v>
      </c>
      <c r="B6" s="2">
        <v>2085</v>
      </c>
      <c r="C6" s="2">
        <v>70</v>
      </c>
      <c r="D6" s="2"/>
      <c r="E6" s="2"/>
      <c r="F6" s="4">
        <v>211214.33</v>
      </c>
      <c r="G6" s="4">
        <v>12457317253</v>
      </c>
      <c r="H6" s="2"/>
      <c r="I6" s="2"/>
      <c r="J6" s="2"/>
    </row>
  </sheetData>
  <mergeCells count="5">
    <mergeCell ref="F1:G1"/>
    <mergeCell ref="B1:B2"/>
    <mergeCell ref="D1:E1"/>
    <mergeCell ref="H1:I1"/>
    <mergeCell ref="A1:A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DB66E-1FFD-4D32-BA5D-DB6972467A37}">
  <dimension ref="A1:X33"/>
  <sheetViews>
    <sheetView tabSelected="1" workbookViewId="0">
      <selection activeCell="U30" sqref="U30"/>
    </sheetView>
  </sheetViews>
  <sheetFormatPr defaultRowHeight="14" x14ac:dyDescent="0.3"/>
  <cols>
    <col min="1" max="1" width="11.33203125" style="1" customWidth="1"/>
    <col min="2" max="2" width="13.4140625" style="1" customWidth="1"/>
    <col min="3" max="16384" width="8.6640625" style="1"/>
  </cols>
  <sheetData>
    <row r="1" spans="1:24" x14ac:dyDescent="0.3">
      <c r="A1" s="5" t="s">
        <v>44</v>
      </c>
      <c r="B1" s="5" t="s">
        <v>4</v>
      </c>
      <c r="C1" s="5" t="s">
        <v>7</v>
      </c>
      <c r="D1" s="5"/>
      <c r="E1" s="5"/>
      <c r="F1" s="5" t="s">
        <v>47</v>
      </c>
      <c r="G1" s="5"/>
      <c r="H1" s="5"/>
      <c r="I1" s="5" t="s">
        <v>48</v>
      </c>
      <c r="J1" s="5"/>
      <c r="K1" s="5"/>
      <c r="N1" s="5" t="s">
        <v>44</v>
      </c>
      <c r="O1" s="7" t="s">
        <v>4</v>
      </c>
      <c r="P1" s="7" t="s">
        <v>7</v>
      </c>
      <c r="Q1" s="7"/>
      <c r="R1" s="7"/>
      <c r="S1" s="7" t="s">
        <v>47</v>
      </c>
      <c r="T1" s="7"/>
      <c r="U1" s="7"/>
      <c r="V1" s="7" t="s">
        <v>48</v>
      </c>
      <c r="W1" s="7"/>
      <c r="X1" s="7"/>
    </row>
    <row r="2" spans="1:24" x14ac:dyDescent="0.3">
      <c r="A2" s="5"/>
      <c r="B2" s="5"/>
      <c r="C2" s="2" t="s">
        <v>5</v>
      </c>
      <c r="D2" s="2" t="s">
        <v>8</v>
      </c>
      <c r="E2" s="2" t="s">
        <v>9</v>
      </c>
      <c r="F2" s="2" t="s">
        <v>5</v>
      </c>
      <c r="G2" s="2" t="s">
        <v>8</v>
      </c>
      <c r="H2" s="2" t="s">
        <v>9</v>
      </c>
      <c r="I2" s="2" t="s">
        <v>5</v>
      </c>
      <c r="J2" s="2" t="s">
        <v>8</v>
      </c>
      <c r="K2" s="2" t="s">
        <v>9</v>
      </c>
      <c r="N2" s="5"/>
      <c r="O2" s="7"/>
      <c r="P2" s="8" t="s">
        <v>5</v>
      </c>
      <c r="Q2" s="8" t="s">
        <v>49</v>
      </c>
      <c r="R2" s="2" t="s">
        <v>50</v>
      </c>
      <c r="S2" s="8" t="s">
        <v>5</v>
      </c>
      <c r="T2" s="8" t="s">
        <v>49</v>
      </c>
      <c r="U2" s="2" t="s">
        <v>50</v>
      </c>
      <c r="V2" s="8" t="s">
        <v>5</v>
      </c>
      <c r="W2" s="8" t="s">
        <v>49</v>
      </c>
      <c r="X2" s="2" t="s">
        <v>50</v>
      </c>
    </row>
    <row r="3" spans="1:24" x14ac:dyDescent="0.3">
      <c r="A3" s="2" t="s">
        <v>19</v>
      </c>
      <c r="B3" s="2">
        <v>19</v>
      </c>
      <c r="C3" s="2">
        <v>0</v>
      </c>
      <c r="D3" s="2">
        <v>21</v>
      </c>
      <c r="E3" s="3">
        <f t="shared" ref="E3:E31" si="0">D3/B3</f>
        <v>1.1052631578947369</v>
      </c>
      <c r="F3" s="2">
        <v>0</v>
      </c>
      <c r="G3" s="2">
        <v>21</v>
      </c>
      <c r="H3" s="3">
        <f>G3/B3</f>
        <v>1.1052631578947369</v>
      </c>
      <c r="I3" s="2">
        <v>0</v>
      </c>
      <c r="J3" s="2">
        <v>23</v>
      </c>
      <c r="K3" s="3">
        <f>J3/B3</f>
        <v>1.2105263157894737</v>
      </c>
      <c r="N3" s="2" t="s">
        <v>3</v>
      </c>
      <c r="O3" s="8">
        <v>19</v>
      </c>
      <c r="P3" s="8">
        <v>0</v>
      </c>
      <c r="Q3" s="8">
        <v>21</v>
      </c>
      <c r="R3" s="3">
        <v>1.1052631578947369</v>
      </c>
      <c r="S3" s="8">
        <v>0</v>
      </c>
      <c r="T3" s="8">
        <v>21</v>
      </c>
      <c r="U3" s="3">
        <v>1.1052631578947369</v>
      </c>
      <c r="V3" s="8">
        <v>0</v>
      </c>
      <c r="W3" s="8">
        <v>23</v>
      </c>
      <c r="X3" s="3">
        <v>1.2105263157894737</v>
      </c>
    </row>
    <row r="4" spans="1:24" x14ac:dyDescent="0.3">
      <c r="A4" s="2" t="s">
        <v>1</v>
      </c>
      <c r="B4" s="2">
        <v>291</v>
      </c>
      <c r="C4" s="2">
        <v>0</v>
      </c>
      <c r="D4" s="2">
        <v>291</v>
      </c>
      <c r="E4" s="3">
        <f t="shared" si="0"/>
        <v>1</v>
      </c>
      <c r="F4" s="2">
        <v>0</v>
      </c>
      <c r="G4" s="2">
        <v>299</v>
      </c>
      <c r="H4" s="3">
        <f t="shared" ref="H4:H31" si="1">G4/B4</f>
        <v>1.0274914089347078</v>
      </c>
      <c r="I4" s="2">
        <v>0</v>
      </c>
      <c r="J4" s="2">
        <v>366</v>
      </c>
      <c r="K4" s="3">
        <f t="shared" ref="K4:K31" si="2">J4/B4</f>
        <v>1.2577319587628866</v>
      </c>
      <c r="N4" s="2" t="s">
        <v>1</v>
      </c>
      <c r="O4" s="8">
        <v>291</v>
      </c>
      <c r="P4" s="8">
        <v>0</v>
      </c>
      <c r="Q4" s="8">
        <v>291</v>
      </c>
      <c r="R4" s="3">
        <v>1</v>
      </c>
      <c r="S4" s="8">
        <v>0</v>
      </c>
      <c r="T4" s="8">
        <v>299</v>
      </c>
      <c r="U4" s="3">
        <v>1.0274914089347078</v>
      </c>
      <c r="V4" s="8">
        <v>0</v>
      </c>
      <c r="W4" s="8">
        <v>366</v>
      </c>
      <c r="X4" s="3">
        <v>1.2577319587628866</v>
      </c>
    </row>
    <row r="5" spans="1:24" x14ac:dyDescent="0.3">
      <c r="A5" s="2" t="s">
        <v>35</v>
      </c>
      <c r="B5" s="2">
        <v>71</v>
      </c>
      <c r="C5" s="2">
        <v>0</v>
      </c>
      <c r="D5" s="2">
        <v>74</v>
      </c>
      <c r="E5" s="3">
        <f t="shared" si="0"/>
        <v>1.0422535211267605</v>
      </c>
      <c r="F5" s="2">
        <v>0</v>
      </c>
      <c r="G5" s="2">
        <v>72</v>
      </c>
      <c r="H5" s="3">
        <f t="shared" si="1"/>
        <v>1.0140845070422535</v>
      </c>
      <c r="I5" s="2">
        <v>0</v>
      </c>
      <c r="J5" s="2">
        <v>79</v>
      </c>
      <c r="K5" s="3">
        <f t="shared" si="2"/>
        <v>1.1126760563380282</v>
      </c>
      <c r="N5" s="2" t="s">
        <v>20</v>
      </c>
      <c r="O5" s="8">
        <v>937</v>
      </c>
      <c r="P5" s="8">
        <v>0</v>
      </c>
      <c r="Q5" s="8">
        <v>965</v>
      </c>
      <c r="R5" s="3">
        <v>1.0298826040554963</v>
      </c>
      <c r="S5" s="8">
        <v>1</v>
      </c>
      <c r="T5" s="8">
        <v>1102</v>
      </c>
      <c r="U5" s="3">
        <v>1.176093916755603</v>
      </c>
      <c r="V5" s="8">
        <v>0</v>
      </c>
      <c r="W5" s="8">
        <v>1112</v>
      </c>
      <c r="X5" s="3">
        <v>1.1867662753468518</v>
      </c>
    </row>
    <row r="6" spans="1:24" x14ac:dyDescent="0.3">
      <c r="A6" s="2" t="s">
        <v>22</v>
      </c>
      <c r="B6" s="2">
        <v>2085</v>
      </c>
      <c r="C6" s="2">
        <v>0</v>
      </c>
      <c r="D6" s="2">
        <v>2178</v>
      </c>
      <c r="E6" s="3">
        <f t="shared" si="0"/>
        <v>1.0446043165467627</v>
      </c>
      <c r="F6" s="2">
        <v>1</v>
      </c>
      <c r="G6" s="2">
        <v>2210</v>
      </c>
      <c r="H6" s="3">
        <f t="shared" si="1"/>
        <v>1.0599520383693046</v>
      </c>
      <c r="I6" s="2">
        <v>1</v>
      </c>
      <c r="J6" s="2">
        <v>2352</v>
      </c>
      <c r="K6" s="3">
        <f t="shared" si="2"/>
        <v>1.1280575539568345</v>
      </c>
      <c r="N6" s="2" t="s">
        <v>0</v>
      </c>
      <c r="O6" s="8">
        <v>33523</v>
      </c>
      <c r="P6" s="8">
        <v>0</v>
      </c>
      <c r="Q6" s="8">
        <v>37928</v>
      </c>
      <c r="R6" s="3">
        <v>1.1314023207946782</v>
      </c>
      <c r="S6" s="8">
        <v>5</v>
      </c>
      <c r="T6" s="8">
        <v>41190</v>
      </c>
      <c r="U6" s="3">
        <v>1.2287086477940519</v>
      </c>
      <c r="V6" s="8">
        <v>0</v>
      </c>
      <c r="W6" s="8">
        <v>43974</v>
      </c>
      <c r="X6" s="3">
        <v>1.31175610774692</v>
      </c>
    </row>
    <row r="7" spans="1:24" x14ac:dyDescent="0.3">
      <c r="A7" s="2" t="s">
        <v>36</v>
      </c>
      <c r="B7" s="2">
        <v>73</v>
      </c>
      <c r="C7" s="2">
        <v>0</v>
      </c>
      <c r="D7" s="2">
        <v>86</v>
      </c>
      <c r="E7" s="3">
        <f t="shared" si="0"/>
        <v>1.178082191780822</v>
      </c>
      <c r="F7" s="2">
        <v>1</v>
      </c>
      <c r="G7" s="2">
        <v>75</v>
      </c>
      <c r="H7" s="3">
        <f t="shared" si="1"/>
        <v>1.0273972602739727</v>
      </c>
      <c r="I7" s="2">
        <v>1</v>
      </c>
      <c r="J7" s="2">
        <v>83</v>
      </c>
      <c r="K7" s="3">
        <f t="shared" si="2"/>
        <v>1.1369863013698631</v>
      </c>
      <c r="N7" s="2" t="s">
        <v>33</v>
      </c>
      <c r="O7" s="8">
        <v>675</v>
      </c>
      <c r="P7" s="8">
        <v>1</v>
      </c>
      <c r="Q7" s="8">
        <v>796</v>
      </c>
      <c r="R7" s="3">
        <v>1.1792592592592592</v>
      </c>
      <c r="S7" s="8">
        <v>27</v>
      </c>
      <c r="T7" s="8">
        <v>862</v>
      </c>
      <c r="U7" s="3">
        <v>1.277037037037037</v>
      </c>
      <c r="V7" s="8">
        <v>0</v>
      </c>
      <c r="W7" s="8">
        <v>892</v>
      </c>
      <c r="X7" s="3">
        <v>1.3214814814814815</v>
      </c>
    </row>
    <row r="8" spans="1:24" x14ac:dyDescent="0.3">
      <c r="A8" s="2" t="s">
        <v>20</v>
      </c>
      <c r="B8" s="2">
        <v>937</v>
      </c>
      <c r="C8" s="2">
        <v>0</v>
      </c>
      <c r="D8" s="2">
        <v>965</v>
      </c>
      <c r="E8" s="3">
        <f t="shared" si="0"/>
        <v>1.0298826040554963</v>
      </c>
      <c r="F8" s="2">
        <v>1</v>
      </c>
      <c r="G8" s="2">
        <v>1102</v>
      </c>
      <c r="H8" s="3">
        <f t="shared" si="1"/>
        <v>1.176093916755603</v>
      </c>
      <c r="I8" s="2">
        <v>0</v>
      </c>
      <c r="J8" s="2">
        <v>1112</v>
      </c>
      <c r="K8" s="3">
        <f t="shared" si="2"/>
        <v>1.1867662753468518</v>
      </c>
      <c r="N8" s="2" t="s">
        <v>24</v>
      </c>
      <c r="O8" s="8">
        <v>502</v>
      </c>
      <c r="P8" s="8">
        <v>2</v>
      </c>
      <c r="Q8" s="8">
        <v>583</v>
      </c>
      <c r="R8" s="3">
        <v>1.1613545816733069</v>
      </c>
      <c r="S8" s="8">
        <v>76</v>
      </c>
      <c r="T8" s="8">
        <v>634</v>
      </c>
      <c r="U8" s="3">
        <v>1.2629482071713147</v>
      </c>
      <c r="V8" s="8">
        <v>0</v>
      </c>
      <c r="W8" s="8">
        <v>648</v>
      </c>
      <c r="X8" s="3">
        <v>1.2908366533864541</v>
      </c>
    </row>
    <row r="9" spans="1:24" x14ac:dyDescent="0.3">
      <c r="A9" s="2" t="s">
        <v>11</v>
      </c>
      <c r="B9" s="2">
        <v>9073</v>
      </c>
      <c r="C9" s="2">
        <v>0</v>
      </c>
      <c r="D9" s="2">
        <v>9962</v>
      </c>
      <c r="E9" s="3">
        <f t="shared" si="0"/>
        <v>1.0979830265623278</v>
      </c>
      <c r="F9" s="2">
        <v>2</v>
      </c>
      <c r="G9" s="2">
        <v>10341</v>
      </c>
      <c r="H9" s="3">
        <f t="shared" si="1"/>
        <v>1.1397553179764135</v>
      </c>
      <c r="I9" s="2">
        <v>0</v>
      </c>
      <c r="J9" s="2">
        <v>11812</v>
      </c>
      <c r="K9" s="3">
        <f t="shared" si="2"/>
        <v>1.3018847128843822</v>
      </c>
      <c r="N9" s="2" t="s">
        <v>27</v>
      </c>
      <c r="O9" s="2">
        <v>21294</v>
      </c>
      <c r="P9" s="2">
        <v>3</v>
      </c>
      <c r="Q9" s="2">
        <v>24852</v>
      </c>
      <c r="R9" s="3">
        <f t="shared" ref="R5:R15" si="3">Q9/O9</f>
        <v>1.1670893209354747</v>
      </c>
      <c r="S9" s="2">
        <v>85</v>
      </c>
      <c r="T9" s="2">
        <v>26002</v>
      </c>
      <c r="U9" s="3">
        <f t="shared" ref="U5:U15" si="4">T9/O9</f>
        <v>1.2210951441720672</v>
      </c>
      <c r="V9" s="2">
        <v>1</v>
      </c>
      <c r="W9" s="2">
        <v>27112</v>
      </c>
      <c r="X9" s="3">
        <f t="shared" ref="X5:X15" si="5">W9/O9</f>
        <v>1.2732225039917349</v>
      </c>
    </row>
    <row r="10" spans="1:24" x14ac:dyDescent="0.3">
      <c r="A10" s="2" t="s">
        <v>12</v>
      </c>
      <c r="B10" s="2">
        <v>9290</v>
      </c>
      <c r="C10" s="2">
        <v>0</v>
      </c>
      <c r="D10" s="2">
        <v>9962</v>
      </c>
      <c r="E10" s="3">
        <f t="shared" si="0"/>
        <v>1.0723358449946179</v>
      </c>
      <c r="F10" s="2">
        <v>2</v>
      </c>
      <c r="G10" s="2">
        <v>10341</v>
      </c>
      <c r="H10" s="3">
        <f t="shared" si="1"/>
        <v>1.1131324004305705</v>
      </c>
      <c r="I10" s="2">
        <v>0</v>
      </c>
      <c r="J10" s="2">
        <v>11812</v>
      </c>
      <c r="K10" s="3">
        <f t="shared" si="2"/>
        <v>1.2714747039827772</v>
      </c>
      <c r="N10" s="2" t="s">
        <v>21</v>
      </c>
      <c r="O10" s="2">
        <v>1667</v>
      </c>
      <c r="P10" s="2">
        <v>4</v>
      </c>
      <c r="Q10" s="2">
        <v>1836</v>
      </c>
      <c r="R10" s="3">
        <f t="shared" si="3"/>
        <v>1.101379724055189</v>
      </c>
      <c r="S10" s="2">
        <v>175</v>
      </c>
      <c r="T10" s="2">
        <v>2101</v>
      </c>
      <c r="U10" s="3">
        <f t="shared" si="4"/>
        <v>1.2603479304139171</v>
      </c>
      <c r="V10" s="2">
        <v>1</v>
      </c>
      <c r="W10" s="2">
        <v>2160</v>
      </c>
      <c r="X10" s="3">
        <f t="shared" si="5"/>
        <v>1.2957408518296341</v>
      </c>
    </row>
    <row r="11" spans="1:24" x14ac:dyDescent="0.3">
      <c r="A11" s="2" t="s">
        <v>0</v>
      </c>
      <c r="B11" s="2">
        <v>33523</v>
      </c>
      <c r="C11" s="2">
        <v>0</v>
      </c>
      <c r="D11" s="2">
        <v>37928</v>
      </c>
      <c r="E11" s="3">
        <f t="shared" si="0"/>
        <v>1.1314023207946782</v>
      </c>
      <c r="F11" s="2">
        <v>5</v>
      </c>
      <c r="G11" s="2">
        <v>41190</v>
      </c>
      <c r="H11" s="3">
        <f t="shared" si="1"/>
        <v>1.2287086477940519</v>
      </c>
      <c r="I11" s="2">
        <v>0</v>
      </c>
      <c r="J11" s="2">
        <v>43974</v>
      </c>
      <c r="K11" s="3">
        <f t="shared" si="2"/>
        <v>1.31175610774692</v>
      </c>
      <c r="N11" s="2" t="s">
        <v>15</v>
      </c>
      <c r="O11" s="2">
        <v>6527</v>
      </c>
      <c r="P11" s="2">
        <v>9</v>
      </c>
      <c r="Q11" s="2">
        <v>7213</v>
      </c>
      <c r="R11" s="3">
        <f t="shared" si="3"/>
        <v>1.105101884479853</v>
      </c>
      <c r="S11" s="2">
        <v>437</v>
      </c>
      <c r="T11" s="2">
        <v>8140</v>
      </c>
      <c r="U11" s="3">
        <f t="shared" si="4"/>
        <v>1.24712731729738</v>
      </c>
      <c r="V11" s="2">
        <v>3</v>
      </c>
      <c r="W11" s="2">
        <v>8148</v>
      </c>
      <c r="X11" s="3">
        <f t="shared" si="5"/>
        <v>1.2483529952504979</v>
      </c>
    </row>
    <row r="12" spans="1:24" x14ac:dyDescent="0.3">
      <c r="A12" s="2" t="s">
        <v>17</v>
      </c>
      <c r="B12" s="2">
        <v>426</v>
      </c>
      <c r="C12" s="2">
        <v>0</v>
      </c>
      <c r="D12" s="2">
        <v>482</v>
      </c>
      <c r="E12" s="3">
        <f t="shared" si="0"/>
        <v>1.1314553990610328</v>
      </c>
      <c r="F12" s="2">
        <v>8</v>
      </c>
      <c r="G12" s="2">
        <v>556</v>
      </c>
      <c r="H12" s="3">
        <f t="shared" si="1"/>
        <v>1.3051643192488263</v>
      </c>
      <c r="I12" s="2">
        <v>0</v>
      </c>
      <c r="J12" s="2">
        <v>584</v>
      </c>
      <c r="K12" s="3">
        <f t="shared" si="2"/>
        <v>1.3708920187793427</v>
      </c>
      <c r="N12" s="2" t="s">
        <v>23</v>
      </c>
      <c r="O12" s="2">
        <v>533</v>
      </c>
      <c r="P12" s="2">
        <v>13</v>
      </c>
      <c r="Q12" s="2">
        <v>547</v>
      </c>
      <c r="R12" s="3">
        <f t="shared" si="3"/>
        <v>1.026266416510319</v>
      </c>
      <c r="S12" s="2">
        <v>1413</v>
      </c>
      <c r="T12" s="2">
        <v>588</v>
      </c>
      <c r="U12" s="3">
        <f t="shared" si="4"/>
        <v>1.1031894934333959</v>
      </c>
      <c r="V12" s="2">
        <v>7</v>
      </c>
      <c r="W12" s="2">
        <v>598</v>
      </c>
      <c r="X12" s="3">
        <f t="shared" si="5"/>
        <v>1.1219512195121952</v>
      </c>
    </row>
    <row r="13" spans="1:24" x14ac:dyDescent="0.3">
      <c r="A13" s="2" t="s">
        <v>13</v>
      </c>
      <c r="B13" s="2">
        <v>7542</v>
      </c>
      <c r="C13" s="2">
        <v>1</v>
      </c>
      <c r="D13" s="2">
        <v>8181</v>
      </c>
      <c r="E13" s="3">
        <f t="shared" si="0"/>
        <v>1.0847255369928401</v>
      </c>
      <c r="F13" s="2">
        <v>8</v>
      </c>
      <c r="G13" s="2">
        <v>9550</v>
      </c>
      <c r="H13" s="3">
        <f t="shared" si="1"/>
        <v>1.2662423760275789</v>
      </c>
      <c r="I13" s="2">
        <v>2</v>
      </c>
      <c r="J13" s="2">
        <v>10114</v>
      </c>
      <c r="K13" s="3">
        <f t="shared" si="2"/>
        <v>1.3410236011667993</v>
      </c>
      <c r="N13" s="2" t="s">
        <v>10</v>
      </c>
      <c r="O13" s="2">
        <v>2579</v>
      </c>
      <c r="P13" s="2">
        <v>31</v>
      </c>
      <c r="Q13" s="2">
        <v>2975</v>
      </c>
      <c r="R13" s="3">
        <f t="shared" si="3"/>
        <v>1.1535478867778208</v>
      </c>
      <c r="S13" s="2">
        <v>4774</v>
      </c>
      <c r="T13" s="2">
        <v>3313</v>
      </c>
      <c r="U13" s="3">
        <f t="shared" si="4"/>
        <v>1.2846064366033347</v>
      </c>
      <c r="V13" s="2">
        <v>22</v>
      </c>
      <c r="W13" s="2">
        <v>3580</v>
      </c>
      <c r="X13" s="3">
        <f t="shared" si="5"/>
        <v>1.3881349360217139</v>
      </c>
    </row>
    <row r="14" spans="1:24" x14ac:dyDescent="0.3">
      <c r="A14" s="2" t="s">
        <v>33</v>
      </c>
      <c r="B14" s="2">
        <v>675</v>
      </c>
      <c r="C14" s="2">
        <v>1</v>
      </c>
      <c r="D14" s="2">
        <v>796</v>
      </c>
      <c r="E14" s="3">
        <f t="shared" si="0"/>
        <v>1.1792592592592592</v>
      </c>
      <c r="F14" s="2">
        <v>27</v>
      </c>
      <c r="G14" s="2">
        <v>862</v>
      </c>
      <c r="H14" s="3">
        <f t="shared" si="1"/>
        <v>1.277037037037037</v>
      </c>
      <c r="I14" s="2">
        <v>0</v>
      </c>
      <c r="J14" s="2">
        <v>892</v>
      </c>
      <c r="K14" s="3">
        <f t="shared" si="2"/>
        <v>1.3214814814814815</v>
      </c>
      <c r="N14" s="2" t="s">
        <v>29</v>
      </c>
      <c r="O14" s="2">
        <v>50778</v>
      </c>
      <c r="P14" s="2">
        <v>132</v>
      </c>
      <c r="Q14" s="2">
        <v>58950</v>
      </c>
      <c r="R14" s="3">
        <f t="shared" si="3"/>
        <v>1.1609358383551931</v>
      </c>
      <c r="S14" s="2">
        <v>39353</v>
      </c>
      <c r="T14" s="2">
        <v>68397</v>
      </c>
      <c r="U14" s="3">
        <f t="shared" si="4"/>
        <v>1.3469809760132341</v>
      </c>
      <c r="V14" s="2">
        <v>69</v>
      </c>
      <c r="W14" s="2">
        <v>69223</v>
      </c>
      <c r="X14" s="3">
        <f t="shared" si="5"/>
        <v>1.3632478632478633</v>
      </c>
    </row>
    <row r="15" spans="1:24" x14ac:dyDescent="0.3">
      <c r="A15" s="2" t="s">
        <v>18</v>
      </c>
      <c r="B15" s="2">
        <v>538</v>
      </c>
      <c r="C15" s="2">
        <v>1</v>
      </c>
      <c r="D15" s="2">
        <v>608</v>
      </c>
      <c r="E15" s="3">
        <f t="shared" si="0"/>
        <v>1.1301115241635689</v>
      </c>
      <c r="F15" s="2">
        <v>30</v>
      </c>
      <c r="G15" s="2">
        <v>674</v>
      </c>
      <c r="H15" s="3">
        <f t="shared" si="1"/>
        <v>1.2527881040892193</v>
      </c>
      <c r="I15" s="2">
        <v>1</v>
      </c>
      <c r="J15" s="2">
        <v>696</v>
      </c>
      <c r="K15" s="3">
        <f t="shared" si="2"/>
        <v>1.2936802973977695</v>
      </c>
      <c r="N15" s="2" t="s">
        <v>30</v>
      </c>
      <c r="O15" s="2">
        <v>259045</v>
      </c>
      <c r="P15" s="2">
        <v>1196</v>
      </c>
      <c r="Q15" s="2">
        <v>313745</v>
      </c>
      <c r="R15" s="3">
        <f t="shared" si="3"/>
        <v>1.2111602231272558</v>
      </c>
      <c r="S15" s="2">
        <v>696928</v>
      </c>
      <c r="T15" s="2">
        <v>347246</v>
      </c>
      <c r="U15" s="3">
        <f t="shared" si="4"/>
        <v>1.3404852438765464</v>
      </c>
      <c r="V15" s="2">
        <v>519</v>
      </c>
      <c r="W15" s="2">
        <v>348709</v>
      </c>
      <c r="X15" s="3">
        <f t="shared" si="5"/>
        <v>1.3461329112702427</v>
      </c>
    </row>
    <row r="16" spans="1:24" x14ac:dyDescent="0.3">
      <c r="A16" s="2" t="s">
        <v>31</v>
      </c>
      <c r="B16" s="2">
        <v>108159</v>
      </c>
      <c r="C16" s="2">
        <v>1</v>
      </c>
      <c r="D16" s="2">
        <v>130921</v>
      </c>
      <c r="E16" s="3">
        <f t="shared" si="0"/>
        <v>1.2104494309303895</v>
      </c>
      <c r="F16" s="2">
        <v>33</v>
      </c>
      <c r="G16" s="2">
        <v>142085</v>
      </c>
      <c r="H16" s="3">
        <f t="shared" si="1"/>
        <v>1.3136678408639133</v>
      </c>
      <c r="I16" s="2">
        <v>0</v>
      </c>
      <c r="J16" s="2">
        <v>145336</v>
      </c>
      <c r="K16" s="3">
        <f t="shared" si="2"/>
        <v>1.3437254412485322</v>
      </c>
      <c r="N16" s="5" t="s">
        <v>45</v>
      </c>
      <c r="O16" s="2" t="s">
        <v>5</v>
      </c>
      <c r="P16" s="6">
        <f>AVERAGE(P3:P15)</f>
        <v>107</v>
      </c>
      <c r="Q16" s="5"/>
      <c r="R16" s="5"/>
      <c r="S16" s="6">
        <f>AVERAGE(S3:S15)</f>
        <v>57174.923076923078</v>
      </c>
      <c r="T16" s="5"/>
      <c r="U16" s="5"/>
      <c r="V16" s="6">
        <f>AVERAGE(V3:V15)</f>
        <v>47.846153846153847</v>
      </c>
      <c r="W16" s="5"/>
      <c r="X16" s="5"/>
    </row>
    <row r="17" spans="1:24" x14ac:dyDescent="0.3">
      <c r="A17" s="2" t="s">
        <v>24</v>
      </c>
      <c r="B17" s="2">
        <v>502</v>
      </c>
      <c r="C17" s="2">
        <v>2</v>
      </c>
      <c r="D17" s="2">
        <v>583</v>
      </c>
      <c r="E17" s="3">
        <f t="shared" si="0"/>
        <v>1.1613545816733069</v>
      </c>
      <c r="F17" s="2">
        <v>76</v>
      </c>
      <c r="G17" s="2">
        <v>634</v>
      </c>
      <c r="H17" s="3">
        <f t="shared" si="1"/>
        <v>1.2629482071713147</v>
      </c>
      <c r="I17" s="2">
        <v>0</v>
      </c>
      <c r="J17" s="2">
        <v>648</v>
      </c>
      <c r="K17" s="3">
        <f t="shared" si="2"/>
        <v>1.2908366533864541</v>
      </c>
      <c r="N17" s="5"/>
      <c r="O17" s="2" t="s">
        <v>46</v>
      </c>
      <c r="P17" s="6">
        <f>AVERAGE(R4:R16)</f>
        <v>1.1189483383353205</v>
      </c>
      <c r="Q17" s="5"/>
      <c r="R17" s="5"/>
      <c r="S17" s="6">
        <f>AVERAGE(U4:U16)</f>
        <v>1.231342646625216</v>
      </c>
      <c r="T17" s="5"/>
      <c r="U17" s="5"/>
      <c r="V17" s="6">
        <f>AVERAGE(X4:X16)</f>
        <v>1.283779646487373</v>
      </c>
      <c r="W17" s="5"/>
      <c r="X17" s="5"/>
    </row>
    <row r="18" spans="1:24" x14ac:dyDescent="0.3">
      <c r="A18" s="2" t="s">
        <v>25</v>
      </c>
      <c r="B18" s="2">
        <v>21282</v>
      </c>
      <c r="C18" s="2">
        <v>2</v>
      </c>
      <c r="D18" s="2">
        <v>24698</v>
      </c>
      <c r="E18" s="3">
        <f t="shared" si="0"/>
        <v>1.1605112301475424</v>
      </c>
      <c r="F18" s="2">
        <v>96</v>
      </c>
      <c r="G18" s="2">
        <v>26442</v>
      </c>
      <c r="H18" s="3">
        <f t="shared" si="1"/>
        <v>1.2424584155624472</v>
      </c>
      <c r="I18" s="2">
        <v>1</v>
      </c>
      <c r="J18" s="2">
        <v>27210</v>
      </c>
      <c r="K18" s="3">
        <f t="shared" si="2"/>
        <v>1.2785452495066254</v>
      </c>
    </row>
    <row r="19" spans="1:24" x14ac:dyDescent="0.3">
      <c r="A19" s="2" t="s">
        <v>26</v>
      </c>
      <c r="B19" s="2">
        <v>20749</v>
      </c>
      <c r="C19" s="2">
        <v>3</v>
      </c>
      <c r="D19" s="2">
        <v>23660</v>
      </c>
      <c r="E19" s="3">
        <f t="shared" si="0"/>
        <v>1.1402959178755603</v>
      </c>
      <c r="F19" s="2">
        <v>93</v>
      </c>
      <c r="G19" s="2">
        <v>27130</v>
      </c>
      <c r="H19" s="3">
        <f t="shared" si="1"/>
        <v>1.3075328931514771</v>
      </c>
      <c r="I19" s="2">
        <v>2</v>
      </c>
      <c r="J19" s="2">
        <v>27968</v>
      </c>
      <c r="K19" s="3">
        <f t="shared" si="2"/>
        <v>1.3479203817051424</v>
      </c>
    </row>
    <row r="20" spans="1:24" x14ac:dyDescent="0.3">
      <c r="A20" s="2" t="s">
        <v>27</v>
      </c>
      <c r="B20" s="2">
        <v>21294</v>
      </c>
      <c r="C20" s="2">
        <v>3</v>
      </c>
      <c r="D20" s="2">
        <v>24852</v>
      </c>
      <c r="E20" s="3">
        <f t="shared" si="0"/>
        <v>1.1670893209354747</v>
      </c>
      <c r="F20" s="2">
        <v>85</v>
      </c>
      <c r="G20" s="2">
        <v>26002</v>
      </c>
      <c r="H20" s="3">
        <f t="shared" si="1"/>
        <v>1.2210951441720672</v>
      </c>
      <c r="I20" s="2">
        <v>1</v>
      </c>
      <c r="J20" s="2">
        <v>27112</v>
      </c>
      <c r="K20" s="3">
        <f t="shared" si="2"/>
        <v>1.2732225039917349</v>
      </c>
    </row>
    <row r="21" spans="1:24" x14ac:dyDescent="0.3">
      <c r="A21" s="2" t="s">
        <v>32</v>
      </c>
      <c r="B21" s="2">
        <v>7755</v>
      </c>
      <c r="C21" s="2">
        <v>3</v>
      </c>
      <c r="D21" s="2">
        <v>9424</v>
      </c>
      <c r="E21" s="3">
        <f t="shared" si="0"/>
        <v>1.2152159896840748</v>
      </c>
      <c r="F21" s="2">
        <v>87</v>
      </c>
      <c r="G21" s="2">
        <v>10646</v>
      </c>
      <c r="H21" s="3">
        <f t="shared" si="1"/>
        <v>1.3727917472598323</v>
      </c>
      <c r="I21" s="2">
        <v>1</v>
      </c>
      <c r="J21" s="2">
        <v>10798</v>
      </c>
      <c r="K21" s="3">
        <f t="shared" si="2"/>
        <v>1.3923920051579626</v>
      </c>
    </row>
    <row r="22" spans="1:24" x14ac:dyDescent="0.3">
      <c r="A22" s="2" t="s">
        <v>16</v>
      </c>
      <c r="B22" s="2">
        <v>629</v>
      </c>
      <c r="C22" s="2">
        <v>4</v>
      </c>
      <c r="D22" s="2">
        <v>746</v>
      </c>
      <c r="E22" s="3">
        <f t="shared" si="0"/>
        <v>1.1860095389507155</v>
      </c>
      <c r="F22" s="2">
        <v>91</v>
      </c>
      <c r="G22" s="2">
        <v>822</v>
      </c>
      <c r="H22" s="3">
        <f t="shared" si="1"/>
        <v>1.3068362480127187</v>
      </c>
      <c r="I22" s="2">
        <v>1</v>
      </c>
      <c r="J22" s="2">
        <v>835</v>
      </c>
      <c r="K22" s="3">
        <f t="shared" si="2"/>
        <v>1.3275039745627981</v>
      </c>
    </row>
    <row r="23" spans="1:24" x14ac:dyDescent="0.3">
      <c r="A23" s="2" t="s">
        <v>28</v>
      </c>
      <c r="B23" s="2">
        <v>14379</v>
      </c>
      <c r="C23" s="2">
        <v>3</v>
      </c>
      <c r="D23" s="2">
        <v>16935</v>
      </c>
      <c r="E23" s="3">
        <f t="shared" si="0"/>
        <v>1.177759232213645</v>
      </c>
      <c r="F23" s="2">
        <v>125</v>
      </c>
      <c r="G23" s="2">
        <v>18901</v>
      </c>
      <c r="H23" s="3">
        <f t="shared" si="1"/>
        <v>1.3144864037832951</v>
      </c>
      <c r="I23" s="2">
        <v>0</v>
      </c>
      <c r="J23" s="2">
        <v>19495</v>
      </c>
      <c r="K23" s="3">
        <f t="shared" si="2"/>
        <v>1.3557966478892829</v>
      </c>
    </row>
    <row r="24" spans="1:24" x14ac:dyDescent="0.3">
      <c r="A24" s="2" t="s">
        <v>21</v>
      </c>
      <c r="B24" s="2">
        <v>1667</v>
      </c>
      <c r="C24" s="2">
        <v>4</v>
      </c>
      <c r="D24" s="2">
        <v>1836</v>
      </c>
      <c r="E24" s="3">
        <f t="shared" si="0"/>
        <v>1.101379724055189</v>
      </c>
      <c r="F24" s="2">
        <v>175</v>
      </c>
      <c r="G24" s="2">
        <v>2101</v>
      </c>
      <c r="H24" s="3">
        <f t="shared" si="1"/>
        <v>1.2603479304139171</v>
      </c>
      <c r="I24" s="2">
        <v>1</v>
      </c>
      <c r="J24" s="2">
        <v>2160</v>
      </c>
      <c r="K24" s="3">
        <f t="shared" si="2"/>
        <v>1.2957408518296341</v>
      </c>
    </row>
    <row r="25" spans="1:24" x14ac:dyDescent="0.3">
      <c r="A25" s="2" t="s">
        <v>14</v>
      </c>
      <c r="B25" s="2">
        <v>6105</v>
      </c>
      <c r="C25" s="2">
        <v>5</v>
      </c>
      <c r="D25" s="2">
        <v>7049</v>
      </c>
      <c r="E25" s="3">
        <f t="shared" si="0"/>
        <v>1.1546273546273547</v>
      </c>
      <c r="F25" s="2">
        <v>239</v>
      </c>
      <c r="G25" s="2">
        <v>7906</v>
      </c>
      <c r="H25" s="3">
        <f t="shared" si="1"/>
        <v>1.2950040950040951</v>
      </c>
      <c r="I25" s="2">
        <v>3</v>
      </c>
      <c r="J25" s="2">
        <v>8124</v>
      </c>
      <c r="K25" s="3">
        <f t="shared" si="2"/>
        <v>1.3307125307125307</v>
      </c>
    </row>
    <row r="26" spans="1:24" x14ac:dyDescent="0.3">
      <c r="A26" s="2" t="s">
        <v>15</v>
      </c>
      <c r="B26" s="2">
        <v>6527</v>
      </c>
      <c r="C26" s="2">
        <v>9</v>
      </c>
      <c r="D26" s="2">
        <v>7213</v>
      </c>
      <c r="E26" s="3">
        <f t="shared" si="0"/>
        <v>1.105101884479853</v>
      </c>
      <c r="F26" s="2">
        <v>437</v>
      </c>
      <c r="G26" s="2">
        <v>8140</v>
      </c>
      <c r="H26" s="3">
        <f t="shared" si="1"/>
        <v>1.24712731729738</v>
      </c>
      <c r="I26" s="2">
        <v>3</v>
      </c>
      <c r="J26" s="2">
        <v>8148</v>
      </c>
      <c r="K26" s="3">
        <f t="shared" si="2"/>
        <v>1.2483529952504979</v>
      </c>
    </row>
    <row r="27" spans="1:24" x14ac:dyDescent="0.3">
      <c r="A27" s="2" t="s">
        <v>23</v>
      </c>
      <c r="B27" s="2">
        <v>533</v>
      </c>
      <c r="C27" s="2">
        <v>13</v>
      </c>
      <c r="D27" s="2">
        <v>547</v>
      </c>
      <c r="E27" s="3">
        <f t="shared" si="0"/>
        <v>1.026266416510319</v>
      </c>
      <c r="F27" s="2">
        <v>1413</v>
      </c>
      <c r="G27" s="2">
        <v>588</v>
      </c>
      <c r="H27" s="3">
        <f t="shared" si="1"/>
        <v>1.1031894934333959</v>
      </c>
      <c r="I27" s="2">
        <v>7</v>
      </c>
      <c r="J27" s="2">
        <v>598</v>
      </c>
      <c r="K27" s="3">
        <f t="shared" si="2"/>
        <v>1.1219512195121952</v>
      </c>
    </row>
    <row r="28" spans="1:24" x14ac:dyDescent="0.3">
      <c r="A28" s="2" t="s">
        <v>34</v>
      </c>
      <c r="B28" s="2">
        <v>3854</v>
      </c>
      <c r="C28" s="2">
        <v>20</v>
      </c>
      <c r="D28" s="2">
        <v>4647</v>
      </c>
      <c r="E28" s="3">
        <f t="shared" si="0"/>
        <v>1.2057602490918526</v>
      </c>
      <c r="F28" s="2">
        <v>2241</v>
      </c>
      <c r="G28" s="2">
        <v>5122</v>
      </c>
      <c r="H28" s="3">
        <f t="shared" si="1"/>
        <v>1.3290088220031135</v>
      </c>
      <c r="I28" s="2">
        <v>11</v>
      </c>
      <c r="J28" s="2">
        <v>5243</v>
      </c>
      <c r="K28" s="3">
        <f t="shared" si="2"/>
        <v>1.3604047742605085</v>
      </c>
    </row>
    <row r="29" spans="1:24" x14ac:dyDescent="0.3">
      <c r="A29" s="2" t="s">
        <v>10</v>
      </c>
      <c r="B29" s="2">
        <v>2579</v>
      </c>
      <c r="C29" s="2">
        <v>31</v>
      </c>
      <c r="D29" s="2">
        <v>2975</v>
      </c>
      <c r="E29" s="3">
        <f t="shared" si="0"/>
        <v>1.1535478867778208</v>
      </c>
      <c r="F29" s="2">
        <v>4774</v>
      </c>
      <c r="G29" s="2">
        <v>3313</v>
      </c>
      <c r="H29" s="3">
        <f t="shared" si="1"/>
        <v>1.2846064366033347</v>
      </c>
      <c r="I29" s="2">
        <v>22</v>
      </c>
      <c r="J29" s="2">
        <v>3580</v>
      </c>
      <c r="K29" s="3">
        <f t="shared" si="2"/>
        <v>1.3881349360217139</v>
      </c>
    </row>
    <row r="30" spans="1:24" x14ac:dyDescent="0.3">
      <c r="A30" s="2" t="s">
        <v>29</v>
      </c>
      <c r="B30" s="2">
        <v>50778</v>
      </c>
      <c r="C30" s="2">
        <v>132</v>
      </c>
      <c r="D30" s="2">
        <v>58950</v>
      </c>
      <c r="E30" s="3">
        <f t="shared" si="0"/>
        <v>1.1609358383551931</v>
      </c>
      <c r="F30" s="2">
        <v>39353</v>
      </c>
      <c r="G30" s="2">
        <v>68397</v>
      </c>
      <c r="H30" s="3">
        <f t="shared" si="1"/>
        <v>1.3469809760132341</v>
      </c>
      <c r="I30" s="2">
        <v>69</v>
      </c>
      <c r="J30" s="2">
        <v>69223</v>
      </c>
      <c r="K30" s="3">
        <f t="shared" si="2"/>
        <v>1.3632478632478633</v>
      </c>
    </row>
    <row r="31" spans="1:24" x14ac:dyDescent="0.3">
      <c r="A31" s="2" t="s">
        <v>30</v>
      </c>
      <c r="B31" s="2">
        <v>259045</v>
      </c>
      <c r="C31" s="2">
        <v>1196</v>
      </c>
      <c r="D31" s="2">
        <v>313745</v>
      </c>
      <c r="E31" s="3">
        <f t="shared" si="0"/>
        <v>1.2111602231272558</v>
      </c>
      <c r="F31" s="2">
        <v>696928</v>
      </c>
      <c r="G31" s="2">
        <v>347246</v>
      </c>
      <c r="H31" s="3">
        <f t="shared" si="1"/>
        <v>1.3404852438765464</v>
      </c>
      <c r="I31" s="2">
        <v>519</v>
      </c>
      <c r="J31" s="2">
        <v>348709</v>
      </c>
      <c r="K31" s="3">
        <f t="shared" si="2"/>
        <v>1.3461329112702427</v>
      </c>
    </row>
    <row r="32" spans="1:24" x14ac:dyDescent="0.3">
      <c r="A32" s="5" t="s">
        <v>45</v>
      </c>
      <c r="B32" s="2" t="s">
        <v>5</v>
      </c>
      <c r="C32" s="6">
        <f>AVERAGE(C3:C31)</f>
        <v>49.448275862068968</v>
      </c>
      <c r="D32" s="5"/>
      <c r="E32" s="5"/>
      <c r="F32" s="6">
        <f>AVERAGE(F3:F31)</f>
        <v>25735.551724137931</v>
      </c>
      <c r="G32" s="5"/>
      <c r="H32" s="5"/>
      <c r="I32" s="6">
        <f>AVERAGE(I3:I31)</f>
        <v>22.275862068965516</v>
      </c>
      <c r="J32" s="5"/>
      <c r="K32" s="5"/>
    </row>
    <row r="33" spans="1:11" x14ac:dyDescent="0.3">
      <c r="A33" s="5"/>
      <c r="B33" s="2" t="s">
        <v>46</v>
      </c>
      <c r="C33" s="6">
        <f>AVERAGE(E4:E32)</f>
        <v>1.1306985844562039</v>
      </c>
      <c r="D33" s="5"/>
      <c r="E33" s="5"/>
      <c r="F33" s="6">
        <f>AVERAGE(H4:H32)</f>
        <v>1.2298719481643434</v>
      </c>
      <c r="G33" s="5"/>
      <c r="H33" s="5"/>
      <c r="I33" s="6">
        <f>AVERAGE(K4:K32)</f>
        <v>1.2892511431702736</v>
      </c>
      <c r="J33" s="5"/>
      <c r="K33" s="5"/>
    </row>
  </sheetData>
  <sortState xmlns:xlrd2="http://schemas.microsoft.com/office/spreadsheetml/2017/richdata2" ref="A3:H31">
    <sortCondition ref="F3:F31"/>
  </sortState>
  <mergeCells count="24">
    <mergeCell ref="A1:A2"/>
    <mergeCell ref="C32:E32"/>
    <mergeCell ref="F32:H32"/>
    <mergeCell ref="A32:A33"/>
    <mergeCell ref="C33:E33"/>
    <mergeCell ref="F33:H33"/>
    <mergeCell ref="I1:K1"/>
    <mergeCell ref="I32:K32"/>
    <mergeCell ref="I33:K33"/>
    <mergeCell ref="C1:E1"/>
    <mergeCell ref="B1:B2"/>
    <mergeCell ref="F1:H1"/>
    <mergeCell ref="N1:N2"/>
    <mergeCell ref="O1:O2"/>
    <mergeCell ref="P1:R1"/>
    <mergeCell ref="S1:U1"/>
    <mergeCell ref="V1:X1"/>
    <mergeCell ref="N16:N17"/>
    <mergeCell ref="P16:R16"/>
    <mergeCell ref="S16:U16"/>
    <mergeCell ref="V16:X16"/>
    <mergeCell ref="P17:R17"/>
    <mergeCell ref="S17:U17"/>
    <mergeCell ref="V17:X17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EXACT</vt:lpstr>
      <vt:lpstr>APPRO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Linkin Florenz</cp:lastModifiedBy>
  <dcterms:created xsi:type="dcterms:W3CDTF">2015-06-05T18:19:34Z</dcterms:created>
  <dcterms:modified xsi:type="dcterms:W3CDTF">2025-06-14T07:45:18Z</dcterms:modified>
</cp:coreProperties>
</file>